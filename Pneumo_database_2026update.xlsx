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babbbie/Documents/Manuscripts/Platypus_report/"/>
    </mc:Choice>
  </mc:AlternateContent>
  <xr:revisionPtr revIDLastSave="0" documentId="13_ncr:1_{63C5EDF8-CEF3-7E4F-988B-41DBFDB49460}" xr6:coauthVersionLast="47" xr6:coauthVersionMax="47" xr10:uidLastSave="{00000000-0000-0000-0000-000000000000}"/>
  <bookViews>
    <workbookView xWindow="2280" yWindow="5260" windowWidth="21020" windowHeight="18900" xr2:uid="{CB355B93-EC17-8445-A02E-7C8863C2F3E5}"/>
  </bookViews>
  <sheets>
    <sheet name="All Species" sheetId="1" r:id="rId1"/>
    <sheet name="Rodentia" sheetId="2" r:id="rId2"/>
    <sheet name="Afrosoricida" sheetId="13" r:id="rId3"/>
    <sheet name="Artiodactyla" sheetId="7" r:id="rId4"/>
    <sheet name="Carnivora" sheetId="3" r:id="rId5"/>
    <sheet name="Chiroptera" sheetId="5" r:id="rId6"/>
    <sheet name="Diprotodontia" sheetId="11" r:id="rId7"/>
    <sheet name="Didelphimorphia" sheetId="12" r:id="rId8"/>
    <sheet name="Eulipotyphla" sheetId="6" r:id="rId9"/>
    <sheet name="Hyracoidea" sheetId="14" r:id="rId10"/>
    <sheet name="Lagomorpha" sheetId="10" r:id="rId11"/>
    <sheet name="Monotremata" sheetId="16" r:id="rId12"/>
    <sheet name="Perissodactyla" sheetId="9" r:id="rId13"/>
    <sheet name="Pilosa" sheetId="8" r:id="rId14"/>
    <sheet name="Primates" sheetId="4" r:id="rId15"/>
    <sheet name="Scandentia" sheetId="15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13" l="1"/>
  <c r="C13" i="13"/>
  <c r="C11" i="13"/>
  <c r="A13" i="13"/>
  <c r="A11" i="13"/>
  <c r="B13" i="13"/>
  <c r="B11" i="13"/>
  <c r="D58" i="6" l="1"/>
  <c r="C60" i="6"/>
  <c r="C58" i="6"/>
  <c r="B60" i="6"/>
  <c r="B58" i="6"/>
  <c r="A60" i="6"/>
  <c r="A58" i="6"/>
  <c r="D64" i="7"/>
  <c r="C66" i="7"/>
  <c r="C64" i="7"/>
  <c r="B66" i="7"/>
  <c r="B64" i="7"/>
  <c r="A66" i="7"/>
  <c r="A64" i="7"/>
  <c r="D113" i="5"/>
  <c r="C115" i="5"/>
  <c r="C113" i="5"/>
  <c r="B115" i="5"/>
  <c r="B113" i="5"/>
  <c r="A115" i="5"/>
  <c r="A113" i="5"/>
  <c r="C98" i="4"/>
  <c r="C96" i="4"/>
  <c r="B98" i="4"/>
  <c r="B96" i="4"/>
  <c r="A96" i="4"/>
  <c r="A98" i="4"/>
  <c r="D320" i="2"/>
  <c r="C322" i="2"/>
  <c r="C320" i="2"/>
  <c r="D10" i="9"/>
  <c r="C10" i="9"/>
  <c r="C12" i="9"/>
  <c r="B12" i="9"/>
  <c r="B10" i="9"/>
  <c r="A10" i="9"/>
  <c r="A12" i="9"/>
  <c r="B322" i="2"/>
  <c r="B320" i="2"/>
  <c r="A322" i="2"/>
  <c r="A320" i="2"/>
  <c r="C10" i="15"/>
  <c r="B10" i="15"/>
  <c r="A10" i="15"/>
  <c r="D8" i="15"/>
  <c r="C8" i="15"/>
  <c r="B8" i="15"/>
  <c r="A8" i="15"/>
  <c r="D96" i="4"/>
  <c r="D12" i="8"/>
  <c r="C14" i="8"/>
  <c r="C12" i="8"/>
  <c r="B14" i="8"/>
  <c r="B12" i="8"/>
  <c r="A14" i="8"/>
  <c r="A12" i="8"/>
  <c r="C10" i="16"/>
  <c r="B10" i="16"/>
  <c r="A10" i="16"/>
  <c r="D8" i="16"/>
  <c r="C8" i="16"/>
  <c r="B8" i="16"/>
  <c r="A8" i="16"/>
  <c r="D13" i="10"/>
  <c r="C15" i="10"/>
  <c r="C13" i="10"/>
  <c r="B15" i="10"/>
  <c r="B13" i="10"/>
  <c r="A15" i="10"/>
  <c r="A13" i="10"/>
  <c r="C13" i="14"/>
  <c r="B13" i="14"/>
  <c r="A13" i="14"/>
  <c r="D11" i="14"/>
  <c r="C11" i="14"/>
  <c r="B11" i="14"/>
  <c r="A11" i="14"/>
  <c r="D11" i="12"/>
  <c r="C13" i="12"/>
  <c r="C11" i="12"/>
  <c r="B13" i="12"/>
  <c r="B11" i="12"/>
  <c r="A13" i="12"/>
  <c r="A11" i="12"/>
  <c r="C10" i="11"/>
  <c r="B10" i="11"/>
  <c r="A10" i="11"/>
  <c r="D8" i="11"/>
  <c r="C8" i="11"/>
  <c r="B8" i="11"/>
  <c r="A8" i="11"/>
  <c r="D78" i="3"/>
  <c r="B754" i="1"/>
  <c r="B756" i="1" s="1"/>
  <c r="B6" i="1" s="1"/>
  <c r="C80" i="3"/>
  <c r="C78" i="3"/>
  <c r="B80" i="3"/>
  <c r="B78" i="3"/>
  <c r="D754" i="1"/>
  <c r="B5" i="1" s="1"/>
  <c r="C754" i="1"/>
  <c r="C756" i="1" s="1"/>
  <c r="A756" i="1"/>
  <c r="B1" i="1" s="1"/>
  <c r="A754" i="1"/>
  <c r="B2" i="1" s="1"/>
  <c r="A78" i="3"/>
  <c r="A80" i="3"/>
  <c r="B4" i="1" l="1"/>
</calcChain>
</file>

<file path=xl/sharedStrings.xml><?xml version="1.0" encoding="utf-8"?>
<sst xmlns="http://schemas.openxmlformats.org/spreadsheetml/2006/main" count="4844" uniqueCount="776">
  <si>
    <t>Positive</t>
  </si>
  <si>
    <t>Yes</t>
  </si>
  <si>
    <t>No</t>
  </si>
  <si>
    <t>Sequence</t>
  </si>
  <si>
    <t>Rodentia (Rodents)</t>
  </si>
  <si>
    <t>Carnivora (Carnivores)</t>
  </si>
  <si>
    <t>Primates</t>
  </si>
  <si>
    <t>Chiroptera (Bats)</t>
  </si>
  <si>
    <t>Eulipotyphla (Shrews, moles, etc.)</t>
  </si>
  <si>
    <t>Artiodactyla (Even-toed Ungulates)</t>
  </si>
  <si>
    <t>Pilosa (Anteaters and Sloths)</t>
  </si>
  <si>
    <t>Perissodactyla (Odd-toed Ungulates)</t>
  </si>
  <si>
    <t>Lagomorpha (Rabbits and Allies)</t>
  </si>
  <si>
    <t>Diprotodontia (Kangaroos, Koalas, etc.)</t>
  </si>
  <si>
    <t>Didelphimorphia (Possums)</t>
  </si>
  <si>
    <t>Afrosoricida (Tenrecs and Allies)</t>
  </si>
  <si>
    <t>Hyracoidea (Hyraxes)</t>
  </si>
  <si>
    <t>Scandentia (Tree Shrews)</t>
  </si>
  <si>
    <t>Total Species Sampled</t>
  </si>
  <si>
    <t>Total Orders Sampled</t>
  </si>
  <si>
    <t>Total Genera Sampled</t>
  </si>
  <si>
    <t>Species With Pneumocystis Genetic Data</t>
  </si>
  <si>
    <t>Species With Microscopy ID Only</t>
  </si>
  <si>
    <t>Negative Screening Results</t>
  </si>
  <si>
    <t>Microscopy ID Only</t>
  </si>
  <si>
    <t>Mitogenome</t>
  </si>
  <si>
    <t>Sequences Collected</t>
  </si>
  <si>
    <t>Reference</t>
  </si>
  <si>
    <t>Ma et al. In Prep</t>
  </si>
  <si>
    <t>mtLSU, mtSSU</t>
  </si>
  <si>
    <t>Babb-Biernacki et al. in prep</t>
  </si>
  <si>
    <t>NA</t>
  </si>
  <si>
    <t>mtLSU, mtSSU, ITS</t>
  </si>
  <si>
    <t>Co-Infection</t>
  </si>
  <si>
    <t>5.8S, ITS, 18S, mtLSU</t>
  </si>
  <si>
    <t>Li et al. 2008 (doi: 10.1007/s11427-008-0057-1), Feng et al. 2010 (doi: oi: 10.1007/s11427-010-4074-5)</t>
  </si>
  <si>
    <t>COB, mtLSU</t>
  </si>
  <si>
    <t>DHFR, COB, mtLSU</t>
  </si>
  <si>
    <t>Petruzela et al. 2019 (https://doi.org/10.1016/j.meegid.2019.103934)</t>
  </si>
  <si>
    <t>mtLSU</t>
  </si>
  <si>
    <t>DHFR, mtLSU, COB</t>
  </si>
  <si>
    <t>mtLSU, COB</t>
  </si>
  <si>
    <t>Laakonen et al. 2005 (doi:10.1017/S003118200500931)</t>
  </si>
  <si>
    <t>Poelma 1975 (Pneumocystis carinii infections in zoo animals)</t>
  </si>
  <si>
    <t>Guillot et al. 2001 (Parallel Phylogenies of Pneumocystis Species and their Mammalian Hosts)</t>
  </si>
  <si>
    <t>mtLSU, DHPS</t>
  </si>
  <si>
    <t>Demanche et al. 2001 (DOI: 10.1128/JCM.39.6.2126–2133.2001), Hugot et al. 2003 (DOI: 10.1080/10635150390250893)</t>
  </si>
  <si>
    <t>Chandler et al. 1976 (Pulmonary Pneumocystosis in Nonhuman primates)</t>
  </si>
  <si>
    <t>Chagas 1909</t>
  </si>
  <si>
    <t>Guillot et al. 2004 (Phylogenetic relationships amongPneumocystis from Asian macaques inferred from mitochondrial rRNA sequences)</t>
  </si>
  <si>
    <t>DHPS, DHFR</t>
  </si>
  <si>
    <t>Ma et al. 2001 (Genetic Divergence of the Dihydrofolate Reductase and DihydropteroateSynthase Genes inPneumocystis cariniifrom 7 Different Host Species),</t>
  </si>
  <si>
    <t>SODA</t>
  </si>
  <si>
    <t xml:space="preserve">Denis et al. 2000 (Genetic divergence at the SODA locus of six different formae  speciales of Pneumocystis carinii),   </t>
  </si>
  <si>
    <t>Genome</t>
  </si>
  <si>
    <t>Shiota et al. 1986 (Prevalence of Pneumocystis  carinii in Wild  Rodents  in japan)</t>
  </si>
  <si>
    <t>Sukura et al. 1992 (Pneumocystis carinii in coricosteroid-treated voles…)</t>
  </si>
  <si>
    <t>Mazars et al. 1997 (Detection of Pneumocystis in European wild animals)</t>
  </si>
  <si>
    <t>Mazars et al. 1997 (Detection of Pneumocystis in European wild animals), Demanche et al. 2015 ( doi: 10.1371/journal.pone.0120839)</t>
  </si>
  <si>
    <t>Laakonen et al. 2005 (doi:10.1017/S003118200500931), Danesi et al. 2016 (http://dx.doi.org/10.1016/j.funbio.2015.08.019)</t>
  </si>
  <si>
    <t>Amplified mtLSU but not sequenced</t>
  </si>
  <si>
    <t>Sanches et al. 2009 (http://dx.doi.org/10.1590/S0100-736X2009000600005)</t>
  </si>
  <si>
    <t>Akbar et al. 2012 (DOI: 10.1128/AEM.01791-12)</t>
  </si>
  <si>
    <t>Goyot et al. 1986 (Arvicola terrestris, Linnaeus 1758, a reservour of Pneumocystis sp.)</t>
  </si>
  <si>
    <t>Latinne et al. 2018 (https://doi.org/10.1017/ S0031182017001883)</t>
  </si>
  <si>
    <t>Laakonen et al. 1997 (Lung parasites of shrews from Pennsylvania)</t>
  </si>
  <si>
    <t>Sebek and Rosicky 1967 (The finding of Pneumocystis carinii in shrews), Mazars et al. 1997 (Detection of Pneumocystis in European wild animals), Laakonen et al. 2005 (doi:10.1017/S003118200500931)</t>
  </si>
  <si>
    <t>Sebek and Rosicky 1967 (The finding of Pneumocystis carinii in shrews)</t>
  </si>
  <si>
    <t>Settnes and Henrickson 1989 (Pneumocystis carinii in large domestic animals in Denmark)</t>
  </si>
  <si>
    <t>Lainson and Shaw 1975 (Pneumocystis and Histpolasma infections in wild animals from the amazon region of brazil)</t>
  </si>
  <si>
    <t>Poelma 1975 (Pneumocystis carinii infections in zoo animals), Lainson and Shaw 1975 (Pneumocystis and Histpolasma infections in wild animals from the amazon region of brazil)</t>
  </si>
  <si>
    <t>Yonushonis et al. 1986 (Infection of a three-toed sloth by a Pneumocystis-like organism in Panama)</t>
  </si>
  <si>
    <t>Richter et al. 1978 (Endemic Pneumocystis carinii in a marmoset colony)</t>
  </si>
  <si>
    <t>mtLSU, mtSSU, DHPS</t>
  </si>
  <si>
    <t>Danesi et al. 2018 (DOI: 10.1177/1040638718797379)</t>
  </si>
  <si>
    <t>Genome (P. carinii and P. wakefieldiae)</t>
  </si>
  <si>
    <t>McConnell et al. 1971 (Pneumocystosis in a domestic goat), Sakakibara et al. 2012 (doi: 10.1292/jv ms.12- 0465)</t>
  </si>
  <si>
    <t>Settnes et al. 1986 (Pneumocystis carinii found in lungs of freeliving animals in denmark)</t>
  </si>
  <si>
    <t>Akbar et al. 2012 (doi: 10.1128/AEM.01791-12)</t>
  </si>
  <si>
    <t>Laakonen et al. 2001 (https://doi.org/10.7589/0090-3558-37.2.408)</t>
  </si>
  <si>
    <t>Babb-Biernacki unpublished results</t>
  </si>
  <si>
    <t>Peters et al. 1994 (Pneumocystis caninii Pneumonia in Thoroughbred Foals:
Identification of a Genetically Distinct Organism by
DNA Amplification)</t>
  </si>
  <si>
    <t>Danesi et al. 2018 (doi: 10.1093/mmy/myy139)</t>
  </si>
  <si>
    <t>mtLSU, DHFR, COB</t>
  </si>
  <si>
    <t>mtSSU</t>
  </si>
  <si>
    <t>Wilson et al. 1974 (Observations on mortality rates and disease in roan and sable antelope on nature reserves in the transvaal)</t>
  </si>
  <si>
    <t>Various. Genome: Cisse et al. 2013 (doi: 10.1128/mBio.00428-12)</t>
  </si>
  <si>
    <t>COB, DHFR</t>
  </si>
  <si>
    <t>Laakonen et al. 1995 (Pneumocystis in arvicoline rodents…)</t>
  </si>
  <si>
    <t>Matsumoto et al. 197 (Pneumocystis infection in macaque monkeys)</t>
  </si>
  <si>
    <t>Letvin et al. 1983 (Acquired immunodeficiency syndrome in a colony of macaque monkeys)</t>
  </si>
  <si>
    <t>Genome: Kovacs group in prep.</t>
  </si>
  <si>
    <t>mtLSU, mtSSU (not on GenBank)</t>
  </si>
  <si>
    <t>Guillot et al. 2003 (doi:10.1016/j.ympev.2003.10.022), Demanche et al. 2001 (DOI: 10.1128/JCM.39.6.2126–2133.2001), Hugot et al. 2003 (DOI: 10.1080/10635150390250893)</t>
  </si>
  <si>
    <t>mtLSU,mtSSU, DHPS</t>
  </si>
  <si>
    <t>mtLSU (not on genbank), mtSSU (not on genbank)</t>
  </si>
  <si>
    <t>mtLSU, COB, DHFR</t>
  </si>
  <si>
    <t>Cross and Hung 1975 (Latent Pneumocystis carinii infections in some mammals from taipei hsien, taiwan)</t>
  </si>
  <si>
    <t>Cho et al. 1999 (Karyotypes of Pneumocystis carinii derived
from several mammals)</t>
  </si>
  <si>
    <t>Laakonen 1998 (Pneumocystis carinii in wildlife)</t>
  </si>
  <si>
    <t>Genome: Ma et al. 2015 (doi: https://doi.org/10.1038/ncomms10740)</t>
  </si>
  <si>
    <t>mtLSU, mtSSU, nucRNA,TS, MSG, AROM,DHPS, DHFR</t>
  </si>
  <si>
    <t>Aliouat-Denis et al. 2008 (https://doi.org/10.1016/j.meegid.2008.05.001)</t>
  </si>
  <si>
    <t>Laakkonen et al. 1995 (Pneumocystis in arvicoline rodents…)</t>
  </si>
  <si>
    <t>Laakkonen et al. 1998 (Lung parasites of least weasels in Finland)</t>
  </si>
  <si>
    <t>Yoshida and Ikai 1978 (Pneumocystis carinii pneumonia: epidemiology in Japan)</t>
  </si>
  <si>
    <t>P. carinii genome: Ma et al. 2015 (doi: https://doi.org/10.1038/ncomms10740), P. wakefieldiae genome: Kovacs group in prep</t>
  </si>
  <si>
    <t>Undescribed locus amplified but not sequenced</t>
  </si>
  <si>
    <t>Rothenburger et al. 2015 (DOI: 10.1177/0300985815593123)</t>
  </si>
  <si>
    <t>Laakkonen et al. 1993 (DOI: 10.7589/0090-3558-29.2.27)</t>
  </si>
  <si>
    <t>Laakkonen et al. 1997 (Lung parasites of shrews from Pennsylvania)</t>
  </si>
  <si>
    <t>Laakkonen et al. 2001 (https://doi.org/10.7589/0090-3558-37.2.408)</t>
  </si>
  <si>
    <t>Streptococcus, Salmonella typhi-murium</t>
  </si>
  <si>
    <t>Babb-Biernacki in prep</t>
  </si>
  <si>
    <t>Babb-Biernacki unpublished</t>
  </si>
  <si>
    <t>Monotremata (Monotremes)</t>
  </si>
  <si>
    <t>Genome in prep</t>
  </si>
  <si>
    <t>Kovacs group in prep</t>
  </si>
  <si>
    <t>Laakkonen et al. 2006 (DOI: 10.7589/0090-3558-42.4.780)</t>
  </si>
  <si>
    <t>Genome in Prep</t>
  </si>
  <si>
    <t>Unpublished, GenBank: KT020896, Martin-Alonso,A., Chabe,M. and Hugot,J.P.</t>
  </si>
  <si>
    <t>Unpublished, GenBank: KT020896, Martin-Alonso,A., Chabe,M. and Hugot,J.P.	NA</t>
  </si>
  <si>
    <t>DHPS</t>
  </si>
  <si>
    <t>Settnes et al. 1986 (Pneumocystis carinii found in lungs of freeliving animals in denmark), Laakkonen et al. 2006 (DOI:,  10.7589/0090-3558-42.4.780), Akbar et al. 2012 (doi: 10.1128/AEM.01791-12)</t>
  </si>
  <si>
    <t>Ubpublished on Genbank; Zhao KU843553.1</t>
  </si>
  <si>
    <t>mtLSU, mtSSU, UCS</t>
  </si>
  <si>
    <t>Settnes et al. 1986 (Pneumocystis carinii found in lungs of freeliving animals in denmark), Riebold et al. 2020 (First molecular detection…)</t>
  </si>
  <si>
    <t>Riebold et al. 2020 (https://doi.org/10.1016/j.cimid.2020.101531)</t>
  </si>
  <si>
    <t>None (screened mtLSU)</t>
  </si>
  <si>
    <t>Bishop et al. 1997 (Detection of Pneumocystis DNA in the Lungs of Several Species of Wild Mammal)</t>
  </si>
  <si>
    <t>Latinne et al. 2021 (https://doi.org/10.1016/j.meegid.2021.104978)</t>
  </si>
  <si>
    <t>Latinn et al. 2021 (https://doi.org/10.1016/j.meegid.2021.104978)</t>
  </si>
  <si>
    <t>NO</t>
  </si>
  <si>
    <t>None (screened mtLSU, mtSSU)</t>
  </si>
  <si>
    <t>Amplified mtLSU but not sequenced, Amplified MSG but not sequenced</t>
  </si>
  <si>
    <t>Amplified MSG but not sequenced</t>
  </si>
  <si>
    <t>Sanches et al. 2009 (http://dx.doi.org/10.1590/S0100-736X2009000600005), Sanches et al. 2013 (http://dx.doi.org/10.1016/j.mycmed.2012.11.002)</t>
  </si>
  <si>
    <t>Amplified MSG but no sequence</t>
  </si>
  <si>
    <t>Sanches et al, 2013 (http://dx.doi.org/10.1016/j.mycmed.2012.11.002)</t>
  </si>
  <si>
    <t>Sanches et al. 2013 (http://dx.doi.org/10.1016/j.mycmed.2012.11.002)</t>
  </si>
  <si>
    <t>Akbar et al. 2012 (doi: 10.1128/AEM.01791-12), Sanches et al, 2013 (http://dx.doi.org/10.1016/j.mycmed.2012.11.002)</t>
  </si>
  <si>
    <t>Species Sampled</t>
  </si>
  <si>
    <t>Genera Sampled</t>
  </si>
  <si>
    <t>^Tachyoryctes splendens</t>
  </si>
  <si>
    <t>^Acomys ngurui</t>
  </si>
  <si>
    <t>^Acomys muzei</t>
  </si>
  <si>
    <t>^Acomys ignitus</t>
  </si>
  <si>
    <t>^Acomys wilsoni</t>
  </si>
  <si>
    <t>^Aethomys hindei</t>
  </si>
  <si>
    <t>^Aethomys chrysophilus</t>
  </si>
  <si>
    <t>^Aethomys kaiseri</t>
  </si>
  <si>
    <r>
      <rPr>
        <b/>
        <sz val="12"/>
        <color theme="1"/>
        <rFont val="Calibri"/>
        <family val="2"/>
        <scheme val="minor"/>
      </rPr>
      <t xml:space="preserve">$Allactaga </t>
    </r>
    <r>
      <rPr>
        <sz val="12"/>
        <color theme="1"/>
        <rFont val="Calibri"/>
        <family val="2"/>
        <scheme val="minor"/>
      </rPr>
      <t>(Four and five-toed jerboas)</t>
    </r>
  </si>
  <si>
    <t>^Allactaga balikunica</t>
  </si>
  <si>
    <r>
      <t xml:space="preserve">$Allocricetulus </t>
    </r>
    <r>
      <rPr>
        <sz val="12"/>
        <color theme="1"/>
        <rFont val="Calibri"/>
        <family val="2"/>
        <scheme val="minor"/>
      </rPr>
      <t>(Asian hamsters)</t>
    </r>
  </si>
  <si>
    <t>^Allocricetulus curtatus</t>
  </si>
  <si>
    <t>^Apodemus agrarius</t>
  </si>
  <si>
    <t>^Apodemus argenteus</t>
  </si>
  <si>
    <t>^Apodemus flavicollis</t>
  </si>
  <si>
    <t>^Apodemus speciosus</t>
  </si>
  <si>
    <t>^Apodemus sylvaticus</t>
  </si>
  <si>
    <t>^Apomys banahao</t>
  </si>
  <si>
    <t>^Arvicola terrestris</t>
  </si>
  <si>
    <r>
      <t xml:space="preserve">$Atlantoxerus </t>
    </r>
    <r>
      <rPr>
        <sz val="12"/>
        <color rgb="FF000000"/>
        <rFont val="Calibri"/>
        <family val="2"/>
        <scheme val="minor"/>
      </rPr>
      <t>(Barbary ground squirrel)</t>
    </r>
  </si>
  <si>
    <t>^Atlantoxerus getulus</t>
  </si>
  <si>
    <t>^Bandicota indica</t>
  </si>
  <si>
    <t>^Bandicota savilei</t>
  </si>
  <si>
    <t>^Berylmys berdmorei</t>
  </si>
  <si>
    <t>^Berylmys bowersi</t>
  </si>
  <si>
    <r>
      <t xml:space="preserve">$Callosciurus </t>
    </r>
    <r>
      <rPr>
        <sz val="12"/>
        <color theme="1"/>
        <rFont val="Calibri"/>
        <family val="2"/>
        <scheme val="minor"/>
      </rPr>
      <t>(Beautiful squirrels)</t>
    </r>
  </si>
  <si>
    <t>^Callosciurus finlaysonii</t>
  </si>
  <si>
    <r>
      <t xml:space="preserve">$Cannomys </t>
    </r>
    <r>
      <rPr>
        <sz val="12"/>
        <color theme="1"/>
        <rFont val="Calibri"/>
        <family val="2"/>
        <scheme val="minor"/>
      </rPr>
      <t>(Lesser bamboo rat)</t>
    </r>
  </si>
  <si>
    <t>^Cannomys badius</t>
  </si>
  <si>
    <t>^Cavia porcellus</t>
  </si>
  <si>
    <t>^Chaetodipus californicus</t>
  </si>
  <si>
    <t>^Clethrionomys glareolus</t>
  </si>
  <si>
    <t>^Clethrionomys rufocanus</t>
  </si>
  <si>
    <r>
      <t xml:space="preserve">$Cricetulus </t>
    </r>
    <r>
      <rPr>
        <sz val="12"/>
        <color theme="1"/>
        <rFont val="Calibri"/>
        <family val="2"/>
        <scheme val="minor"/>
      </rPr>
      <t>(Ratlike Hamsters)</t>
    </r>
  </si>
  <si>
    <t>^Cricetulus longicaudatus</t>
  </si>
  <si>
    <t>^Cricetulus migratorius</t>
  </si>
  <si>
    <t>^Cricetulus sokolovi</t>
  </si>
  <si>
    <t>^Ctenodactylus gundi</t>
  </si>
  <si>
    <t>^Cuniculus paca</t>
  </si>
  <si>
    <r>
      <t xml:space="preserve">$Cynomys </t>
    </r>
    <r>
      <rPr>
        <sz val="12"/>
        <color theme="1"/>
        <rFont val="Calibri"/>
        <family val="2"/>
        <scheme val="minor"/>
      </rPr>
      <t>(Prairie dogs)</t>
    </r>
  </si>
  <si>
    <t>^Cynomys ludovicianus</t>
  </si>
  <si>
    <t>^Eliomys quercinus</t>
  </si>
  <si>
    <t>^Funambulus palmarum</t>
  </si>
  <si>
    <t>^Gerbilliscus vicinus</t>
  </si>
  <si>
    <t>^Grammomys surdaster</t>
  </si>
  <si>
    <t>^Graphiurus murinus</t>
  </si>
  <si>
    <t>^Graphiurus sp. indet.</t>
  </si>
  <si>
    <t>^Heliophobius argenteocinereus</t>
  </si>
  <si>
    <t>^Hylomyscus arcimontensis</t>
  </si>
  <si>
    <t>^Lemmus lemmus</t>
  </si>
  <si>
    <t>^Lemniscomys striatus</t>
  </si>
  <si>
    <t>^Lemniscomys rosalia</t>
  </si>
  <si>
    <t>^Leopoldamys herberti</t>
  </si>
  <si>
    <t>^Leopoldamys neilli</t>
  </si>
  <si>
    <t>^Leopoldamys sabanus</t>
  </si>
  <si>
    <t>^Lophuromys kilonzoi</t>
  </si>
  <si>
    <t>^Lophuromys makundii</t>
  </si>
  <si>
    <t>^Mastomys natalensis</t>
  </si>
  <si>
    <t>^Maxomys surifer</t>
  </si>
  <si>
    <r>
      <t xml:space="preserve">$Meriones </t>
    </r>
    <r>
      <rPr>
        <sz val="12"/>
        <color theme="1"/>
        <rFont val="Calibri"/>
        <family val="2"/>
        <scheme val="minor"/>
      </rPr>
      <t>(Gerbils)</t>
    </r>
  </si>
  <si>
    <t>^Meriones meridianus</t>
  </si>
  <si>
    <t>^Meriones unguiculatus</t>
  </si>
  <si>
    <t>^Mesocricetus auratus</t>
  </si>
  <si>
    <t>^Micromys minutus</t>
  </si>
  <si>
    <t>^Microtus agrestis</t>
  </si>
  <si>
    <t>^Microtus arvalis</t>
  </si>
  <si>
    <t>^Microtus californicus</t>
  </si>
  <si>
    <t>^Microtus gregalis</t>
  </si>
  <si>
    <t>^Microtus montebelli</t>
  </si>
  <si>
    <t>^Microtus multiplex</t>
  </si>
  <si>
    <t>^Microtus oeconomus</t>
  </si>
  <si>
    <t>^Microtus subterraneus</t>
  </si>
  <si>
    <t>^Mus caroli</t>
  </si>
  <si>
    <t>^Mus cooki</t>
  </si>
  <si>
    <t>^Mus cervicolor</t>
  </si>
  <si>
    <t>^Mus minutoides</t>
  </si>
  <si>
    <t>^Mus musculus</t>
  </si>
  <si>
    <t>^Mus pahari</t>
  </si>
  <si>
    <t>^Mus triton</t>
  </si>
  <si>
    <r>
      <t xml:space="preserve">$Muscardinus </t>
    </r>
    <r>
      <rPr>
        <sz val="12"/>
        <color theme="1"/>
        <rFont val="Calibri"/>
        <family val="2"/>
        <scheme val="minor"/>
      </rPr>
      <t>(Common dormouse)</t>
    </r>
  </si>
  <si>
    <t>^Muscardinus avellanarius</t>
  </si>
  <si>
    <t>^Myocastor coypus</t>
  </si>
  <si>
    <t>^Myodes glareolus</t>
  </si>
  <si>
    <t>^Myodes smithii</t>
  </si>
  <si>
    <t>^Myomyscus brockmani</t>
  </si>
  <si>
    <t>^Myopus schisticolor</t>
  </si>
  <si>
    <t>^Neotoma floridana</t>
  </si>
  <si>
    <t>^Neotoma fuscipes</t>
  </si>
  <si>
    <r>
      <t xml:space="preserve">$Niviventer fulvescens </t>
    </r>
    <r>
      <rPr>
        <sz val="12"/>
        <color theme="1"/>
        <rFont val="Calibri"/>
        <family val="2"/>
        <scheme val="minor"/>
      </rPr>
      <t>(White-bellied rats)</t>
    </r>
  </si>
  <si>
    <t>^Niviventer fulvescens</t>
  </si>
  <si>
    <t>^Niviventer niviventer</t>
  </si>
  <si>
    <t>^Ochrotomys nuttali</t>
  </si>
  <si>
    <t>^Oryzomys capito</t>
  </si>
  <si>
    <t>^Otomys angoniensis</t>
  </si>
  <si>
    <t>^Peromyscus attwateri</t>
  </si>
  <si>
    <t>^Peromyscus boylii</t>
  </si>
  <si>
    <t>^Peromyscus californicus</t>
  </si>
  <si>
    <t>^Peromyscus gossypinus</t>
  </si>
  <si>
    <t>^Peromyscus leucopus</t>
  </si>
  <si>
    <t>^Peromyscus maniculatus</t>
  </si>
  <si>
    <r>
      <t xml:space="preserve">$Phodopus </t>
    </r>
    <r>
      <rPr>
        <sz val="12"/>
        <color theme="1"/>
        <rFont val="Calibri"/>
        <family val="2"/>
        <scheme val="minor"/>
      </rPr>
      <t>(Desert hamsters)</t>
    </r>
  </si>
  <si>
    <t>^Phodopus campbelli</t>
  </si>
  <si>
    <t>^Phodopus roborovskii</t>
  </si>
  <si>
    <t>^Praomys delectorum</t>
  </si>
  <si>
    <t>^Proechimys guyanensis</t>
  </si>
  <si>
    <t>^Rattus andamenensis</t>
  </si>
  <si>
    <t>^Rattus norvegicus</t>
  </si>
  <si>
    <t>^Rattus nitidus</t>
  </si>
  <si>
    <t>^Rattus tanezumi</t>
  </si>
  <si>
    <t>^Rattus exulans</t>
  </si>
  <si>
    <t>^Rattus sakeratensis</t>
  </si>
  <si>
    <t>^Rattus argentiventer</t>
  </si>
  <si>
    <t>^Rattus rattus</t>
  </si>
  <si>
    <t>^Rattus tiomanicus</t>
  </si>
  <si>
    <t>^Rattus everetti</t>
  </si>
  <si>
    <t>^Reithrodontomys fulvescens</t>
  </si>
  <si>
    <t>^Reithrodontomys megalotis</t>
  </si>
  <si>
    <t>^Rhabdomys dilectus</t>
  </si>
  <si>
    <t>^Rhizomys pruinosus</t>
  </si>
  <si>
    <t>^Saccostomus umbriventer</t>
  </si>
  <si>
    <t>^Sciurus aestuans</t>
  </si>
  <si>
    <t>^Sciurus carolinensis</t>
  </si>
  <si>
    <r>
      <t xml:space="preserve">$Spermophilus </t>
    </r>
    <r>
      <rPr>
        <sz val="12"/>
        <color theme="1"/>
        <rFont val="Calibri"/>
        <family val="2"/>
        <scheme val="minor"/>
      </rPr>
      <t>(Ground squirrels)</t>
    </r>
  </si>
  <si>
    <t>^Spermophilus erythrogenys</t>
  </si>
  <si>
    <t>^Steatomys sp. ind.</t>
  </si>
  <si>
    <r>
      <t xml:space="preserve">$Stylodipus </t>
    </r>
    <r>
      <rPr>
        <sz val="12"/>
        <color theme="1"/>
        <rFont val="Calibri"/>
        <family val="2"/>
        <scheme val="minor"/>
      </rPr>
      <t>(Three-toed jerboas)</t>
    </r>
  </si>
  <si>
    <t>^Stylodipus sungorus</t>
  </si>
  <si>
    <t>^Sundamys muelleri</t>
  </si>
  <si>
    <r>
      <t xml:space="preserve">$Acomys </t>
    </r>
    <r>
      <rPr>
        <sz val="12"/>
        <color theme="1"/>
        <rFont val="Calibri"/>
        <family val="2"/>
        <scheme val="minor"/>
      </rPr>
      <t>(Spiny mice)</t>
    </r>
  </si>
  <si>
    <r>
      <t xml:space="preserve">$Acomys </t>
    </r>
    <r>
      <rPr>
        <sz val="12"/>
        <color theme="1"/>
        <rFont val="Calibri"/>
        <family val="2"/>
        <scheme val="minor"/>
      </rPr>
      <t>(Spiny Mice)</t>
    </r>
  </si>
  <si>
    <r>
      <t xml:space="preserve">$Aethomys </t>
    </r>
    <r>
      <rPr>
        <sz val="12"/>
        <color theme="1"/>
        <rFont val="Calibri"/>
        <family val="2"/>
        <scheme val="minor"/>
      </rPr>
      <t>(Rock Mice)</t>
    </r>
  </si>
  <si>
    <r>
      <t xml:space="preserve">$Apodemus </t>
    </r>
    <r>
      <rPr>
        <sz val="12"/>
        <color theme="1"/>
        <rFont val="Calibri"/>
        <family val="2"/>
        <scheme val="minor"/>
      </rPr>
      <t>(Eurasian field mice)</t>
    </r>
  </si>
  <si>
    <r>
      <t xml:space="preserve">$Apomys </t>
    </r>
    <r>
      <rPr>
        <sz val="12"/>
        <color theme="1"/>
        <rFont val="Calibri"/>
        <family val="2"/>
        <scheme val="minor"/>
      </rPr>
      <t>(Earthworm mice)</t>
    </r>
  </si>
  <si>
    <r>
      <t xml:space="preserve">$Arvicola </t>
    </r>
    <r>
      <rPr>
        <sz val="12"/>
        <color theme="1"/>
        <rFont val="Calibri"/>
        <family val="2"/>
        <scheme val="minor"/>
      </rPr>
      <t>(Water voles)</t>
    </r>
  </si>
  <si>
    <r>
      <t xml:space="preserve">$Bandicota </t>
    </r>
    <r>
      <rPr>
        <sz val="12"/>
        <color theme="1"/>
        <rFont val="Calibri"/>
        <family val="2"/>
        <scheme val="minor"/>
      </rPr>
      <t>(Bandicoot rats)</t>
    </r>
  </si>
  <si>
    <r>
      <t xml:space="preserve">$Berylmys </t>
    </r>
    <r>
      <rPr>
        <sz val="12"/>
        <color theme="1"/>
        <rFont val="Calibri"/>
        <family val="2"/>
        <scheme val="minor"/>
      </rPr>
      <t>(White-toothed rats)</t>
    </r>
  </si>
  <si>
    <r>
      <t xml:space="preserve">$Cavia </t>
    </r>
    <r>
      <rPr>
        <sz val="12"/>
        <color theme="1"/>
        <rFont val="Calibri"/>
        <family val="2"/>
        <scheme val="minor"/>
      </rPr>
      <t>(Guinea pigs)</t>
    </r>
  </si>
  <si>
    <r>
      <t xml:space="preserve">$Chaetodipus </t>
    </r>
    <r>
      <rPr>
        <sz val="12"/>
        <color theme="1"/>
        <rFont val="Calibri"/>
        <family val="2"/>
        <scheme val="minor"/>
      </rPr>
      <t>(Pocket mice)</t>
    </r>
  </si>
  <si>
    <r>
      <t xml:space="preserve">$Clethrionomys </t>
    </r>
    <r>
      <rPr>
        <sz val="12"/>
        <color theme="1"/>
        <rFont val="Calibri"/>
        <family val="2"/>
        <scheme val="minor"/>
      </rPr>
      <t>(Red-backed voles)</t>
    </r>
  </si>
  <si>
    <r>
      <t xml:space="preserve">$Ctenodactylus </t>
    </r>
    <r>
      <rPr>
        <sz val="12"/>
        <color theme="1"/>
        <rFont val="Calibri"/>
        <family val="2"/>
        <scheme val="minor"/>
      </rPr>
      <t>(gundis)</t>
    </r>
  </si>
  <si>
    <r>
      <t xml:space="preserve">$Cuniculus </t>
    </r>
    <r>
      <rPr>
        <sz val="12"/>
        <color theme="1"/>
        <rFont val="Calibri"/>
        <family val="2"/>
        <scheme val="minor"/>
      </rPr>
      <t>(Paca)</t>
    </r>
  </si>
  <si>
    <r>
      <t xml:space="preserve">$Eliomys </t>
    </r>
    <r>
      <rPr>
        <sz val="12"/>
        <color theme="1"/>
        <rFont val="Calibri"/>
        <family val="2"/>
        <scheme val="minor"/>
      </rPr>
      <t>(Garden dormice)</t>
    </r>
  </si>
  <si>
    <r>
      <t xml:space="preserve">$Funambulus </t>
    </r>
    <r>
      <rPr>
        <sz val="12"/>
        <color theme="1"/>
        <rFont val="Calibri"/>
        <family val="2"/>
        <scheme val="minor"/>
      </rPr>
      <t>(Palm squirrels)</t>
    </r>
  </si>
  <si>
    <r>
      <t xml:space="preserve">$Gerbilliscus </t>
    </r>
    <r>
      <rPr>
        <sz val="12"/>
        <color theme="1"/>
        <rFont val="Calibri"/>
        <family val="2"/>
        <scheme val="minor"/>
      </rPr>
      <t>(Gerbils)</t>
    </r>
  </si>
  <si>
    <r>
      <t xml:space="preserve">$Grammomys </t>
    </r>
    <r>
      <rPr>
        <sz val="12"/>
        <color theme="1"/>
        <rFont val="Calibri"/>
        <family val="2"/>
        <scheme val="minor"/>
      </rPr>
      <t>(Thicket rats)</t>
    </r>
  </si>
  <si>
    <r>
      <t xml:space="preserve">$Graphiurus </t>
    </r>
    <r>
      <rPr>
        <sz val="12"/>
        <color theme="1"/>
        <rFont val="Calibri"/>
        <family val="2"/>
        <scheme val="minor"/>
      </rPr>
      <t>(African dormice)</t>
    </r>
  </si>
  <si>
    <r>
      <t xml:space="preserve">$Heliophobius </t>
    </r>
    <r>
      <rPr>
        <sz val="12"/>
        <color theme="1"/>
        <rFont val="Calibri"/>
        <family val="2"/>
        <scheme val="minor"/>
      </rPr>
      <t>(Silvery mole rat)</t>
    </r>
  </si>
  <si>
    <r>
      <t xml:space="preserve">$Hylomyscus </t>
    </r>
    <r>
      <rPr>
        <sz val="12"/>
        <color theme="1"/>
        <rFont val="Calibri"/>
        <family val="2"/>
        <scheme val="minor"/>
      </rPr>
      <t>(African wood mice)</t>
    </r>
  </si>
  <si>
    <r>
      <t xml:space="preserve">$Lemmus </t>
    </r>
    <r>
      <rPr>
        <sz val="12"/>
        <color theme="1"/>
        <rFont val="Calibri"/>
        <family val="2"/>
        <scheme val="minor"/>
      </rPr>
      <t>(True lemmings)</t>
    </r>
  </si>
  <si>
    <r>
      <t xml:space="preserve">$Lemniscomys </t>
    </r>
    <r>
      <rPr>
        <sz val="12"/>
        <color theme="1"/>
        <rFont val="Calibri"/>
        <family val="2"/>
        <scheme val="minor"/>
      </rPr>
      <t>(Zebra mice)</t>
    </r>
  </si>
  <si>
    <r>
      <t xml:space="preserve">$Leopoldamys </t>
    </r>
    <r>
      <rPr>
        <sz val="12"/>
        <color theme="1"/>
        <rFont val="Calibri"/>
        <family val="2"/>
        <scheme val="minor"/>
      </rPr>
      <t>(Long-tailed giant rats)</t>
    </r>
  </si>
  <si>
    <r>
      <t xml:space="preserve">$Lophuromys </t>
    </r>
    <r>
      <rPr>
        <sz val="12"/>
        <color theme="1"/>
        <rFont val="Calibri"/>
        <family val="2"/>
        <scheme val="minor"/>
      </rPr>
      <t>(Brush-furred mice)</t>
    </r>
  </si>
  <si>
    <r>
      <t xml:space="preserve">$Mastomys </t>
    </r>
    <r>
      <rPr>
        <sz val="12"/>
        <color theme="1"/>
        <rFont val="Calibri"/>
        <family val="2"/>
        <scheme val="minor"/>
      </rPr>
      <t>(Multimammate mice)</t>
    </r>
  </si>
  <si>
    <r>
      <t xml:space="preserve">$Maxomys </t>
    </r>
    <r>
      <rPr>
        <sz val="12"/>
        <color theme="1"/>
        <rFont val="Calibri"/>
        <family val="2"/>
        <scheme val="minor"/>
      </rPr>
      <t>(Spiny rats)</t>
    </r>
  </si>
  <si>
    <r>
      <t xml:space="preserve">$Mesocricetus </t>
    </r>
    <r>
      <rPr>
        <sz val="12"/>
        <color theme="1"/>
        <rFont val="Calibri"/>
        <family val="2"/>
        <scheme val="minor"/>
      </rPr>
      <t>(Hamsters)</t>
    </r>
  </si>
  <si>
    <r>
      <t xml:space="preserve">$Micromys </t>
    </r>
    <r>
      <rPr>
        <sz val="12"/>
        <color theme="1"/>
        <rFont val="Calibri"/>
        <family val="2"/>
        <scheme val="minor"/>
      </rPr>
      <t>(Harvest mice)</t>
    </r>
  </si>
  <si>
    <r>
      <t xml:space="preserve">$Microtus </t>
    </r>
    <r>
      <rPr>
        <sz val="12"/>
        <color theme="1"/>
        <rFont val="Calibri"/>
        <family val="2"/>
        <scheme val="minor"/>
      </rPr>
      <t>(Meadow voles)</t>
    </r>
  </si>
  <si>
    <r>
      <t xml:space="preserve">$Mus </t>
    </r>
    <r>
      <rPr>
        <sz val="12"/>
        <color theme="1"/>
        <rFont val="Calibri"/>
        <family val="2"/>
        <scheme val="minor"/>
      </rPr>
      <t>(Mice)</t>
    </r>
  </si>
  <si>
    <r>
      <t xml:space="preserve">$Myocastor </t>
    </r>
    <r>
      <rPr>
        <sz val="12"/>
        <color theme="1"/>
        <rFont val="Calibri"/>
        <family val="2"/>
        <scheme val="minor"/>
      </rPr>
      <t>(Nutria)</t>
    </r>
  </si>
  <si>
    <r>
      <t xml:space="preserve">$Myodes </t>
    </r>
    <r>
      <rPr>
        <sz val="12"/>
        <color theme="1"/>
        <rFont val="Calibri"/>
        <family val="2"/>
        <scheme val="minor"/>
      </rPr>
      <t>(Red-backed voles)</t>
    </r>
  </si>
  <si>
    <r>
      <t xml:space="preserve">$Myomyscus </t>
    </r>
    <r>
      <rPr>
        <sz val="12"/>
        <color theme="1"/>
        <rFont val="Calibri"/>
        <family val="2"/>
        <scheme val="minor"/>
      </rPr>
      <t>(African mice)</t>
    </r>
  </si>
  <si>
    <r>
      <t xml:space="preserve">$Myopus </t>
    </r>
    <r>
      <rPr>
        <sz val="12"/>
        <color theme="1"/>
        <rFont val="Calibri"/>
        <family val="2"/>
        <scheme val="minor"/>
      </rPr>
      <t>(Wood lemmings)</t>
    </r>
  </si>
  <si>
    <r>
      <t xml:space="preserve">$Myopus </t>
    </r>
    <r>
      <rPr>
        <sz val="12"/>
        <color rgb="FF000000"/>
        <rFont val="Calibri"/>
        <family val="2"/>
        <scheme val="minor"/>
      </rPr>
      <t>(Wood lemmings)</t>
    </r>
  </si>
  <si>
    <r>
      <t xml:space="preserve">$Neotoma </t>
    </r>
    <r>
      <rPr>
        <sz val="12"/>
        <color theme="1"/>
        <rFont val="Calibri"/>
        <family val="2"/>
        <scheme val="minor"/>
      </rPr>
      <t>(Packrats)</t>
    </r>
  </si>
  <si>
    <r>
      <t xml:space="preserve">$Ochrotomys </t>
    </r>
    <r>
      <rPr>
        <sz val="12"/>
        <color theme="1"/>
        <rFont val="Calibri"/>
        <family val="2"/>
        <scheme val="minor"/>
      </rPr>
      <t>(Golden mouse)</t>
    </r>
  </si>
  <si>
    <r>
      <t xml:space="preserve">$Oryzomys </t>
    </r>
    <r>
      <rPr>
        <sz val="12"/>
        <color theme="1"/>
        <rFont val="Calibri"/>
        <family val="2"/>
        <scheme val="minor"/>
      </rPr>
      <t>(Rice rats)</t>
    </r>
  </si>
  <si>
    <r>
      <t xml:space="preserve">$Otomys </t>
    </r>
    <r>
      <rPr>
        <sz val="12"/>
        <color theme="1"/>
        <rFont val="Calibri"/>
        <family val="2"/>
        <scheme val="minor"/>
      </rPr>
      <t>(African vlei rats)</t>
    </r>
  </si>
  <si>
    <r>
      <t>$Peromyscus</t>
    </r>
    <r>
      <rPr>
        <sz val="12"/>
        <color theme="1"/>
        <rFont val="Calibri"/>
        <family val="2"/>
        <scheme val="minor"/>
      </rPr>
      <t xml:space="preserve"> (Deer mice)</t>
    </r>
  </si>
  <si>
    <r>
      <t xml:space="preserve">$Praomys </t>
    </r>
    <r>
      <rPr>
        <sz val="12"/>
        <color theme="1"/>
        <rFont val="Calibri"/>
        <family val="2"/>
        <scheme val="minor"/>
      </rPr>
      <t>(Soft-furred mice)</t>
    </r>
  </si>
  <si>
    <r>
      <t xml:space="preserve">$Proechimys </t>
    </r>
    <r>
      <rPr>
        <sz val="12"/>
        <color theme="1"/>
        <rFont val="Calibri"/>
        <family val="2"/>
        <scheme val="minor"/>
      </rPr>
      <t>(Spiny rats)</t>
    </r>
  </si>
  <si>
    <r>
      <t xml:space="preserve">$Rattus </t>
    </r>
    <r>
      <rPr>
        <sz val="12"/>
        <color theme="1"/>
        <rFont val="Calibri"/>
        <family val="2"/>
        <scheme val="minor"/>
      </rPr>
      <t>(Rats)</t>
    </r>
  </si>
  <si>
    <r>
      <t xml:space="preserve">$Reithrodontomys </t>
    </r>
    <r>
      <rPr>
        <sz val="12"/>
        <color theme="1"/>
        <rFont val="Calibri"/>
        <family val="2"/>
        <scheme val="minor"/>
      </rPr>
      <t>(Harvest mice)</t>
    </r>
  </si>
  <si>
    <r>
      <t xml:space="preserve">$Rhabdomys </t>
    </r>
    <r>
      <rPr>
        <sz val="12"/>
        <color theme="1"/>
        <rFont val="Calibri"/>
        <family val="2"/>
        <scheme val="minor"/>
      </rPr>
      <t>(Striped mice)</t>
    </r>
  </si>
  <si>
    <r>
      <t xml:space="preserve">$Rhizomys </t>
    </r>
    <r>
      <rPr>
        <sz val="12"/>
        <color theme="1"/>
        <rFont val="Calibri"/>
        <family val="2"/>
        <scheme val="minor"/>
      </rPr>
      <t>(Bamboo rats)</t>
    </r>
  </si>
  <si>
    <r>
      <t xml:space="preserve">$Saccostomus </t>
    </r>
    <r>
      <rPr>
        <sz val="12"/>
        <color theme="1"/>
        <rFont val="Calibri"/>
        <family val="2"/>
        <scheme val="minor"/>
      </rPr>
      <t>(Pouched mice)</t>
    </r>
  </si>
  <si>
    <r>
      <t xml:space="preserve">$Sciurus </t>
    </r>
    <r>
      <rPr>
        <sz val="12"/>
        <color theme="1"/>
        <rFont val="Calibri"/>
        <family val="2"/>
        <scheme val="minor"/>
      </rPr>
      <t>(Squirrels)</t>
    </r>
  </si>
  <si>
    <r>
      <t xml:space="preserve">$Steatomys </t>
    </r>
    <r>
      <rPr>
        <sz val="12"/>
        <color theme="1"/>
        <rFont val="Calibri"/>
        <family val="2"/>
        <scheme val="minor"/>
      </rPr>
      <t>(Fat mice)</t>
    </r>
  </si>
  <si>
    <r>
      <t xml:space="preserve">$Sundamys </t>
    </r>
    <r>
      <rPr>
        <sz val="12"/>
        <color theme="1"/>
        <rFont val="Calibri"/>
        <family val="2"/>
        <scheme val="minor"/>
      </rPr>
      <t>(Sunda rats)</t>
    </r>
  </si>
  <si>
    <r>
      <t xml:space="preserve">$Tachyoryctes </t>
    </r>
    <r>
      <rPr>
        <sz val="12"/>
        <color theme="1"/>
        <rFont val="Calibri"/>
        <family val="2"/>
        <scheme val="minor"/>
      </rPr>
      <t>(African mole rats)</t>
    </r>
  </si>
  <si>
    <t>^Microgale sp.</t>
  </si>
  <si>
    <r>
      <t xml:space="preserve">$Microgale </t>
    </r>
    <r>
      <rPr>
        <sz val="12"/>
        <color theme="1"/>
        <rFont val="Calibri"/>
        <family val="2"/>
        <scheme val="minor"/>
      </rPr>
      <t>(shrew tenrecs)</t>
    </r>
  </si>
  <si>
    <t>^Bos taurus</t>
  </si>
  <si>
    <r>
      <t xml:space="preserve">$Capra </t>
    </r>
    <r>
      <rPr>
        <sz val="12"/>
        <color theme="1"/>
        <rFont val="Calibri"/>
        <family val="2"/>
        <scheme val="minor"/>
      </rPr>
      <t>(Goats)</t>
    </r>
  </si>
  <si>
    <t>^Capra aegagrus hircus</t>
  </si>
  <si>
    <r>
      <t xml:space="preserve">$Capreolus </t>
    </r>
    <r>
      <rPr>
        <sz val="12"/>
        <color theme="1"/>
        <rFont val="Calibri"/>
        <family val="2"/>
        <scheme val="minor"/>
      </rPr>
      <t>(Roe deer)</t>
    </r>
  </si>
  <si>
    <t>^Capreolus capreolus</t>
  </si>
  <si>
    <t>^Hippotragus niger</t>
  </si>
  <si>
    <t>^Ovis aries</t>
  </si>
  <si>
    <t>^Rangifer tarandus</t>
  </si>
  <si>
    <t>^Sus scrofa domesticus</t>
  </si>
  <si>
    <r>
      <t xml:space="preserve">$Bos </t>
    </r>
    <r>
      <rPr>
        <sz val="12"/>
        <color theme="1"/>
        <rFont val="Calibri"/>
        <family val="2"/>
        <scheme val="minor"/>
      </rPr>
      <t>(Cattle)</t>
    </r>
  </si>
  <si>
    <r>
      <t xml:space="preserve">$Hippotragus </t>
    </r>
    <r>
      <rPr>
        <sz val="12"/>
        <color theme="1"/>
        <rFont val="Calibri"/>
        <family val="2"/>
        <scheme val="minor"/>
      </rPr>
      <t>(Antelopes)</t>
    </r>
  </si>
  <si>
    <r>
      <t xml:space="preserve">$Ovis </t>
    </r>
    <r>
      <rPr>
        <sz val="12"/>
        <color theme="1"/>
        <rFont val="Calibri"/>
        <family val="2"/>
        <scheme val="minor"/>
      </rPr>
      <t>(Sheep)</t>
    </r>
  </si>
  <si>
    <r>
      <t xml:space="preserve">$Rangifer </t>
    </r>
    <r>
      <rPr>
        <sz val="12"/>
        <color theme="1"/>
        <rFont val="Calibri"/>
        <family val="2"/>
        <scheme val="minor"/>
      </rPr>
      <t>(Reindeer)</t>
    </r>
  </si>
  <si>
    <r>
      <t xml:space="preserve">$Sus </t>
    </r>
    <r>
      <rPr>
        <sz val="12"/>
        <color theme="1"/>
        <rFont val="Calibri"/>
        <family val="2"/>
        <scheme val="minor"/>
      </rPr>
      <t>(Pigs)</t>
    </r>
  </si>
  <si>
    <t>^Ailurus fulgens</t>
  </si>
  <si>
    <r>
      <t xml:space="preserve">$Canis </t>
    </r>
    <r>
      <rPr>
        <sz val="12"/>
        <color theme="1"/>
        <rFont val="Calibri"/>
        <family val="2"/>
        <scheme val="minor"/>
      </rPr>
      <t>(Dogs)</t>
    </r>
  </si>
  <si>
    <t>^Canis lupus familiaris</t>
  </si>
  <si>
    <t>^Felis catus</t>
  </si>
  <si>
    <t>^Galictis vittata</t>
  </si>
  <si>
    <t>^Martes foina</t>
  </si>
  <si>
    <t>^Meles meles</t>
  </si>
  <si>
    <t>^Melogale moschata</t>
  </si>
  <si>
    <t>^Mustela putorius furo</t>
  </si>
  <si>
    <t>^Mustela sibirica</t>
  </si>
  <si>
    <t>^Mustela nivalis</t>
  </si>
  <si>
    <t>^Nasua narica</t>
  </si>
  <si>
    <t>^Nyctereutes procyonoides</t>
  </si>
  <si>
    <t>^Vulpes vulpes</t>
  </si>
  <si>
    <t>^Vulpes zerda</t>
  </si>
  <si>
    <r>
      <t xml:space="preserve">$Ailurus </t>
    </r>
    <r>
      <rPr>
        <sz val="12"/>
        <color theme="1"/>
        <rFont val="Calibri"/>
        <family val="2"/>
        <scheme val="minor"/>
      </rPr>
      <t>(Red panda)</t>
    </r>
  </si>
  <si>
    <r>
      <t xml:space="preserve">$Felis </t>
    </r>
    <r>
      <rPr>
        <sz val="12"/>
        <color theme="1"/>
        <rFont val="Calibri"/>
        <family val="2"/>
        <scheme val="minor"/>
      </rPr>
      <t>(Small cats)</t>
    </r>
  </si>
  <si>
    <r>
      <t xml:space="preserve">$Galictis </t>
    </r>
    <r>
      <rPr>
        <sz val="12"/>
        <color theme="1"/>
        <rFont val="Calibri"/>
        <family val="2"/>
        <scheme val="minor"/>
      </rPr>
      <t>(Grisons)</t>
    </r>
  </si>
  <si>
    <r>
      <t xml:space="preserve">$Martes </t>
    </r>
    <r>
      <rPr>
        <sz val="12"/>
        <color theme="1"/>
        <rFont val="Calibri"/>
        <family val="2"/>
        <scheme val="minor"/>
      </rPr>
      <t>(Martens)</t>
    </r>
  </si>
  <si>
    <r>
      <t xml:space="preserve">$Meles </t>
    </r>
    <r>
      <rPr>
        <sz val="12"/>
        <color theme="1"/>
        <rFont val="Calibri"/>
        <family val="2"/>
        <scheme val="minor"/>
      </rPr>
      <t>(Old world badgers)</t>
    </r>
  </si>
  <si>
    <r>
      <t xml:space="preserve">$Melogale </t>
    </r>
    <r>
      <rPr>
        <sz val="12"/>
        <color theme="1"/>
        <rFont val="Calibri"/>
        <family val="2"/>
        <scheme val="minor"/>
      </rPr>
      <t>(Ferret-badgers)</t>
    </r>
  </si>
  <si>
    <r>
      <t xml:space="preserve">$Mustela </t>
    </r>
    <r>
      <rPr>
        <sz val="12"/>
        <color theme="1"/>
        <rFont val="Calibri"/>
        <family val="2"/>
        <scheme val="minor"/>
      </rPr>
      <t>(Weasels)</t>
    </r>
  </si>
  <si>
    <r>
      <t xml:space="preserve">$Nyctereutes </t>
    </r>
    <r>
      <rPr>
        <sz val="12"/>
        <color theme="1"/>
        <rFont val="Calibri"/>
        <family val="2"/>
        <scheme val="minor"/>
      </rPr>
      <t>(Raccoon dogs)</t>
    </r>
  </si>
  <si>
    <r>
      <t xml:space="preserve">$Vulpes </t>
    </r>
    <r>
      <rPr>
        <sz val="12"/>
        <color theme="1"/>
        <rFont val="Calibri"/>
        <family val="2"/>
        <scheme val="minor"/>
      </rPr>
      <t>(Foxes)</t>
    </r>
  </si>
  <si>
    <r>
      <t xml:space="preserve">$Nasua </t>
    </r>
    <r>
      <rPr>
        <sz val="12"/>
        <color theme="1"/>
        <rFont val="Calibri"/>
        <family val="2"/>
        <scheme val="minor"/>
      </rPr>
      <t>(Coatis)</t>
    </r>
  </si>
  <si>
    <t>^Artibeus fimbriatus</t>
  </si>
  <si>
    <t>^Artibeus hirsutus</t>
  </si>
  <si>
    <t>^Artibeus lituratus</t>
  </si>
  <si>
    <t>^Carollia perspicillata</t>
  </si>
  <si>
    <t>^Desmodus rotundus</t>
  </si>
  <si>
    <t>^Diaemus youngii</t>
  </si>
  <si>
    <t>^Diphylla ecaudata</t>
  </si>
  <si>
    <t>^Eptesicus furinalis</t>
  </si>
  <si>
    <t>^Eptesicus serotinus</t>
  </si>
  <si>
    <t>^Eumops glaucinus</t>
  </si>
  <si>
    <t>^Glossophaga soricina</t>
  </si>
  <si>
    <t>^Histiotus velatus</t>
  </si>
  <si>
    <t>^Lasiurus blossevillii</t>
  </si>
  <si>
    <t>^Molossus molossus</t>
  </si>
  <si>
    <t>^Molossus rufus</t>
  </si>
  <si>
    <t>^Molossus currentium</t>
  </si>
  <si>
    <t>^Mormoops megalophylla</t>
  </si>
  <si>
    <t>^Myotis californicus</t>
  </si>
  <si>
    <t>^Myotis daubentoni</t>
  </si>
  <si>
    <t>^Myotis levis</t>
  </si>
  <si>
    <t>^Myotis myotis</t>
  </si>
  <si>
    <t>^Myotis nigricans</t>
  </si>
  <si>
    <t>^Natalus stramineus</t>
  </si>
  <si>
    <t>^Nyctalus leisleri</t>
  </si>
  <si>
    <t>^Nyctalus noctula</t>
  </si>
  <si>
    <t>^Nyctinomops laticaudatus</t>
  </si>
  <si>
    <t>^Nyctinomops macrotis</t>
  </si>
  <si>
    <t>^Pipistrellus pipistrellus</t>
  </si>
  <si>
    <t>^Plecotus auritus</t>
  </si>
  <si>
    <t>^Plecotus austriacus</t>
  </si>
  <si>
    <t>^Promops nasutus</t>
  </si>
  <si>
    <t>^Pteronotus parnellii</t>
  </si>
  <si>
    <t>^Pteronotus davyi</t>
  </si>
  <si>
    <t>^Pteropus rodricensus</t>
  </si>
  <si>
    <t>^Rousettus aegyptiacus</t>
  </si>
  <si>
    <t>^Sturnira lilium</t>
  </si>
  <si>
    <t>^Tadarida brasiliensis</t>
  </si>
  <si>
    <r>
      <t xml:space="preserve">$Artibeus </t>
    </r>
    <r>
      <rPr>
        <sz val="12"/>
        <color theme="1"/>
        <rFont val="Calibri"/>
        <family val="2"/>
        <scheme val="minor"/>
      </rPr>
      <t>(Neotropical fruit bats)</t>
    </r>
  </si>
  <si>
    <r>
      <t xml:space="preserve">$Carollia </t>
    </r>
    <r>
      <rPr>
        <sz val="12"/>
        <color theme="1"/>
        <rFont val="Calibri"/>
        <family val="2"/>
        <scheme val="minor"/>
      </rPr>
      <t>(Short-tailed fruit bats)</t>
    </r>
  </si>
  <si>
    <r>
      <t xml:space="preserve">$Desmodus </t>
    </r>
    <r>
      <rPr>
        <sz val="12"/>
        <color theme="1"/>
        <rFont val="Calibri"/>
        <family val="2"/>
        <scheme val="minor"/>
      </rPr>
      <t>(Vampire bats)</t>
    </r>
  </si>
  <si>
    <r>
      <t xml:space="preserve">$Diaemus </t>
    </r>
    <r>
      <rPr>
        <sz val="12"/>
        <color theme="1"/>
        <rFont val="Calibri"/>
        <family val="2"/>
        <scheme val="minor"/>
      </rPr>
      <t>(White-winged vampire bat)</t>
    </r>
  </si>
  <si>
    <r>
      <t xml:space="preserve">$Diphylla </t>
    </r>
    <r>
      <rPr>
        <sz val="12"/>
        <color theme="1"/>
        <rFont val="Calibri"/>
        <family val="2"/>
        <scheme val="minor"/>
      </rPr>
      <t>(Hairy-legged vampire bats)</t>
    </r>
  </si>
  <si>
    <r>
      <t xml:space="preserve">$Eptesicus </t>
    </r>
    <r>
      <rPr>
        <sz val="12"/>
        <color theme="1"/>
        <rFont val="Calibri"/>
        <family val="2"/>
        <scheme val="minor"/>
      </rPr>
      <t>(House bats)</t>
    </r>
  </si>
  <si>
    <r>
      <t xml:space="preserve">$Eumops </t>
    </r>
    <r>
      <rPr>
        <sz val="12"/>
        <color theme="1"/>
        <rFont val="Calibri"/>
        <family val="2"/>
        <scheme val="minor"/>
      </rPr>
      <t>(Mastiff bats)</t>
    </r>
  </si>
  <si>
    <r>
      <t xml:space="preserve">$Glossophaga </t>
    </r>
    <r>
      <rPr>
        <sz val="12"/>
        <color theme="1"/>
        <rFont val="Calibri"/>
        <family val="2"/>
        <scheme val="minor"/>
      </rPr>
      <t>(Long-tongued bats)</t>
    </r>
  </si>
  <si>
    <r>
      <t xml:space="preserve">$Histiotus </t>
    </r>
    <r>
      <rPr>
        <sz val="12"/>
        <color theme="1"/>
        <rFont val="Calibri"/>
        <family val="2"/>
        <scheme val="minor"/>
      </rPr>
      <t>(Big-eared brown bats)</t>
    </r>
  </si>
  <si>
    <r>
      <t xml:space="preserve">$Lasiurus </t>
    </r>
    <r>
      <rPr>
        <sz val="12"/>
        <color theme="1"/>
        <rFont val="Calibri"/>
        <family val="2"/>
        <scheme val="minor"/>
      </rPr>
      <t>(Hairy-tailed bats)</t>
    </r>
  </si>
  <si>
    <r>
      <t xml:space="preserve">$Molossus </t>
    </r>
    <r>
      <rPr>
        <sz val="12"/>
        <color theme="1"/>
        <rFont val="Calibri"/>
        <family val="2"/>
        <scheme val="minor"/>
      </rPr>
      <t>(Free-tailed bats)</t>
    </r>
  </si>
  <si>
    <r>
      <t xml:space="preserve">$Mormoops </t>
    </r>
    <r>
      <rPr>
        <sz val="12"/>
        <color theme="1"/>
        <rFont val="Calibri"/>
        <family val="2"/>
        <scheme val="minor"/>
      </rPr>
      <t>(Ghost-faced bats)</t>
    </r>
  </si>
  <si>
    <r>
      <t xml:space="preserve">$Myotis </t>
    </r>
    <r>
      <rPr>
        <sz val="12"/>
        <color theme="1"/>
        <rFont val="Calibri"/>
        <family val="2"/>
        <scheme val="minor"/>
      </rPr>
      <t>(Mouse-eared bats)</t>
    </r>
  </si>
  <si>
    <r>
      <t xml:space="preserve">$Natalus </t>
    </r>
    <r>
      <rPr>
        <sz val="12"/>
        <color theme="1"/>
        <rFont val="Calibri"/>
        <family val="2"/>
        <scheme val="minor"/>
      </rPr>
      <t>(Funnel-eared bats)</t>
    </r>
  </si>
  <si>
    <r>
      <t xml:space="preserve">$Nyctalus </t>
    </r>
    <r>
      <rPr>
        <sz val="12"/>
        <color theme="1"/>
        <rFont val="Calibri"/>
        <family val="2"/>
        <scheme val="minor"/>
      </rPr>
      <t>(Noctule bats)</t>
    </r>
  </si>
  <si>
    <r>
      <t xml:space="preserve">$Nyctinomops </t>
    </r>
    <r>
      <rPr>
        <sz val="12"/>
        <color theme="1"/>
        <rFont val="Calibri"/>
        <family val="2"/>
        <scheme val="minor"/>
      </rPr>
      <t>(Free-tailed bats)</t>
    </r>
  </si>
  <si>
    <r>
      <t xml:space="preserve">$Pipistrellus </t>
    </r>
    <r>
      <rPr>
        <sz val="12"/>
        <color theme="1"/>
        <rFont val="Calibri"/>
        <family val="2"/>
        <scheme val="minor"/>
      </rPr>
      <t>(Pipistrelle bats)</t>
    </r>
  </si>
  <si>
    <r>
      <t xml:space="preserve">$Plecotus </t>
    </r>
    <r>
      <rPr>
        <sz val="12"/>
        <color theme="1"/>
        <rFont val="Calibri"/>
        <family val="2"/>
        <scheme val="minor"/>
      </rPr>
      <t>(Long-eared bats)</t>
    </r>
  </si>
  <si>
    <r>
      <t>$Promops</t>
    </r>
    <r>
      <rPr>
        <sz val="12"/>
        <color theme="1"/>
        <rFont val="Calibri"/>
        <family val="2"/>
        <scheme val="minor"/>
      </rPr>
      <t xml:space="preserve"> (Free-tailed bats)</t>
    </r>
  </si>
  <si>
    <r>
      <t xml:space="preserve">$Pteronotus </t>
    </r>
    <r>
      <rPr>
        <sz val="12"/>
        <color theme="1"/>
        <rFont val="Calibri"/>
        <family val="2"/>
        <scheme val="minor"/>
      </rPr>
      <t>(Naked-backed bats)</t>
    </r>
  </si>
  <si>
    <r>
      <t xml:space="preserve">$Pteropus </t>
    </r>
    <r>
      <rPr>
        <sz val="12"/>
        <color theme="1"/>
        <rFont val="Calibri"/>
        <family val="2"/>
        <scheme val="minor"/>
      </rPr>
      <t>(Fruit bats)</t>
    </r>
  </si>
  <si>
    <r>
      <t xml:space="preserve">$Rousettus </t>
    </r>
    <r>
      <rPr>
        <sz val="12"/>
        <color theme="1"/>
        <rFont val="Calibri"/>
        <family val="2"/>
        <scheme val="minor"/>
      </rPr>
      <t>(Rousette bats)</t>
    </r>
  </si>
  <si>
    <r>
      <t xml:space="preserve">$Sturnira </t>
    </r>
    <r>
      <rPr>
        <sz val="12"/>
        <color theme="1"/>
        <rFont val="Calibri"/>
        <family val="2"/>
        <scheme val="minor"/>
      </rPr>
      <t>(Yellow-shouldered bats)</t>
    </r>
  </si>
  <si>
    <r>
      <t xml:space="preserve">$Tadarida </t>
    </r>
    <r>
      <rPr>
        <sz val="12"/>
        <color theme="1"/>
        <rFont val="Calibri"/>
        <family val="2"/>
        <scheme val="minor"/>
      </rPr>
      <t>(Frree-tailed bats)</t>
    </r>
  </si>
  <si>
    <r>
      <t xml:space="preserve">$Macropus </t>
    </r>
    <r>
      <rPr>
        <sz val="12"/>
        <color theme="1"/>
        <rFont val="Calibri"/>
        <family val="2"/>
        <scheme val="minor"/>
      </rPr>
      <t>(Kangaroos)</t>
    </r>
  </si>
  <si>
    <t>^Macropus rufus</t>
  </si>
  <si>
    <r>
      <t xml:space="preserve">$Didelphis </t>
    </r>
    <r>
      <rPr>
        <sz val="12"/>
        <color theme="1"/>
        <rFont val="Calibri"/>
        <family val="2"/>
        <scheme val="minor"/>
      </rPr>
      <t>(American opossums)</t>
    </r>
  </si>
  <si>
    <t>^Didelphis virginianus</t>
  </si>
  <si>
    <t>^Marmosa murina</t>
  </si>
  <si>
    <r>
      <t xml:space="preserve">$Marmosa </t>
    </r>
    <r>
      <rPr>
        <sz val="12"/>
        <color theme="1"/>
        <rFont val="Calibri"/>
        <family val="2"/>
        <scheme val="minor"/>
      </rPr>
      <t>(Mouse opossums)</t>
    </r>
  </si>
  <si>
    <t>^Blarina brevicauda</t>
  </si>
  <si>
    <t>^Crocidura sualveolens</t>
  </si>
  <si>
    <t>^Neomys fodiens</t>
  </si>
  <si>
    <t>^Erinaceus europaeus</t>
  </si>
  <si>
    <t>^Notiosorex crawfordi</t>
  </si>
  <si>
    <t>^Sorex alpinus</t>
  </si>
  <si>
    <t>^Sorex antinorii</t>
  </si>
  <si>
    <t>^Sorex araneus</t>
  </si>
  <si>
    <t>^Sorex caecutiens</t>
  </si>
  <si>
    <t>^Sorex cinereus</t>
  </si>
  <si>
    <t>^Sorex fumeus</t>
  </si>
  <si>
    <t>^Sorex isodon</t>
  </si>
  <si>
    <t>^Sorex minutus</t>
  </si>
  <si>
    <t>^Sorex minutissimus</t>
  </si>
  <si>
    <t>^Sorex ornatus</t>
  </si>
  <si>
    <t>^Suncus murinus</t>
  </si>
  <si>
    <t>^Talpa europaea</t>
  </si>
  <si>
    <r>
      <t xml:space="preserve">$Blarina </t>
    </r>
    <r>
      <rPr>
        <sz val="12"/>
        <color theme="1"/>
        <rFont val="Calibri"/>
        <family val="2"/>
        <scheme val="minor"/>
      </rPr>
      <t>(Short-tailed shrews)</t>
    </r>
  </si>
  <si>
    <r>
      <t xml:space="preserve">$Crocidura </t>
    </r>
    <r>
      <rPr>
        <sz val="12"/>
        <color theme="1"/>
        <rFont val="Calibri"/>
        <family val="2"/>
        <scheme val="minor"/>
      </rPr>
      <t>(White-toothed shrews)</t>
    </r>
  </si>
  <si>
    <r>
      <t xml:space="preserve">$Neomys </t>
    </r>
    <r>
      <rPr>
        <sz val="12"/>
        <color theme="1"/>
        <rFont val="Calibri"/>
        <family val="2"/>
        <scheme val="minor"/>
      </rPr>
      <t>(Eurasian water shrews)</t>
    </r>
  </si>
  <si>
    <r>
      <t xml:space="preserve">$Erinaceus </t>
    </r>
    <r>
      <rPr>
        <sz val="12"/>
        <color theme="1"/>
        <rFont val="Calibri"/>
        <family val="2"/>
        <scheme val="minor"/>
      </rPr>
      <t>(Hedgehogs)</t>
    </r>
  </si>
  <si>
    <r>
      <t xml:space="preserve">$Notiosorex </t>
    </r>
    <r>
      <rPr>
        <sz val="12"/>
        <color theme="1"/>
        <rFont val="Calibri"/>
        <family val="2"/>
        <scheme val="minor"/>
      </rPr>
      <t>(Grey shrews)</t>
    </r>
  </si>
  <si>
    <r>
      <t xml:space="preserve">$Sorex </t>
    </r>
    <r>
      <rPr>
        <sz val="12"/>
        <color theme="1"/>
        <rFont val="Calibri"/>
        <family val="2"/>
        <scheme val="minor"/>
      </rPr>
      <t>(Shrews)</t>
    </r>
  </si>
  <si>
    <r>
      <t xml:space="preserve">$Suncus </t>
    </r>
    <r>
      <rPr>
        <sz val="12"/>
        <color theme="1"/>
        <rFont val="Calibri"/>
        <family val="2"/>
        <scheme val="minor"/>
      </rPr>
      <t>(Shrews)</t>
    </r>
  </si>
  <si>
    <r>
      <t xml:space="preserve">$Talpa </t>
    </r>
    <r>
      <rPr>
        <sz val="12"/>
        <color theme="1"/>
        <rFont val="Calibri"/>
        <family val="2"/>
        <scheme val="minor"/>
      </rPr>
      <t>(Moles)</t>
    </r>
  </si>
  <si>
    <t>^Procavia ruficeps</t>
  </si>
  <si>
    <r>
      <t xml:space="preserve">$Procavia </t>
    </r>
    <r>
      <rPr>
        <sz val="12"/>
        <color theme="1"/>
        <rFont val="Calibri"/>
        <family val="2"/>
        <scheme val="minor"/>
      </rPr>
      <t>(Rock hyraxes)</t>
    </r>
  </si>
  <si>
    <r>
      <rPr>
        <b/>
        <sz val="12"/>
        <color theme="1"/>
        <rFont val="Calibri"/>
        <family val="2"/>
        <scheme val="minor"/>
      </rPr>
      <t xml:space="preserve">$Ornithorhynchus </t>
    </r>
    <r>
      <rPr>
        <sz val="12"/>
        <color theme="1"/>
        <rFont val="Calibri"/>
        <family val="2"/>
        <scheme val="minor"/>
      </rPr>
      <t>(Platypus)</t>
    </r>
  </si>
  <si>
    <t>^Ornithorhynchus anatinus</t>
  </si>
  <si>
    <r>
      <t xml:space="preserve">$Lepus </t>
    </r>
    <r>
      <rPr>
        <sz val="12"/>
        <color theme="1"/>
        <rFont val="Calibri"/>
        <family val="2"/>
        <scheme val="minor"/>
      </rPr>
      <t>(Jackrabbits)</t>
    </r>
  </si>
  <si>
    <t>^Lepus europaeus</t>
  </si>
  <si>
    <t>^Lepus timidus</t>
  </si>
  <si>
    <t>^Oryctolagus cuniculus</t>
  </si>
  <si>
    <r>
      <t>$Oryctolagus</t>
    </r>
    <r>
      <rPr>
        <sz val="12"/>
        <color theme="1"/>
        <rFont val="Calibri"/>
        <family val="2"/>
        <scheme val="minor"/>
      </rPr>
      <t xml:space="preserve"> (European rabbit)</t>
    </r>
  </si>
  <si>
    <t>^Equus ferus caballus</t>
  </si>
  <si>
    <r>
      <t xml:space="preserve">$Equus </t>
    </r>
    <r>
      <rPr>
        <sz val="12"/>
        <color theme="1"/>
        <rFont val="Calibri"/>
        <family val="2"/>
        <scheme val="minor"/>
      </rPr>
      <t>(Horses)</t>
    </r>
  </si>
  <si>
    <r>
      <t xml:space="preserve">$Bradypus </t>
    </r>
    <r>
      <rPr>
        <sz val="12"/>
        <color theme="1"/>
        <rFont val="Calibri"/>
        <family val="2"/>
        <scheme val="minor"/>
      </rPr>
      <t>(Three-toed sloths)</t>
    </r>
  </si>
  <si>
    <t>^Bradypus tridactylus</t>
  </si>
  <si>
    <t>^Bradypus variegatus</t>
  </si>
  <si>
    <r>
      <t xml:space="preserve">$Choloepus </t>
    </r>
    <r>
      <rPr>
        <sz val="12"/>
        <color theme="1"/>
        <rFont val="Calibri"/>
        <family val="2"/>
        <scheme val="minor"/>
      </rPr>
      <t>(Two-toed sloths)</t>
    </r>
  </si>
  <si>
    <t>^Choloepus didactylus</t>
  </si>
  <si>
    <t>^Allenopithecus nigroviridis</t>
  </si>
  <si>
    <t>^Alouatta fusca</t>
  </si>
  <si>
    <t>^Aotus trivirgatus</t>
  </si>
  <si>
    <t>^Aotus nancymaae</t>
  </si>
  <si>
    <t>^Ateles belzebuth</t>
  </si>
  <si>
    <t>^Callimico goeldii</t>
  </si>
  <si>
    <t>^Callithrix aurita</t>
  </si>
  <si>
    <t>^Callithrix geoffroyi</t>
  </si>
  <si>
    <t>^Callithrix jacchus</t>
  </si>
  <si>
    <t>^Callithrix penicillata</t>
  </si>
  <si>
    <t>^Cercopithecus hamlyni</t>
  </si>
  <si>
    <t>^Cercopithecus lhoesti</t>
  </si>
  <si>
    <t>^Cercopithecus nictitans</t>
  </si>
  <si>
    <t>^Eulemur macaco</t>
  </si>
  <si>
    <t>^Galago senegalensis</t>
  </si>
  <si>
    <t>^Galago demidovii</t>
  </si>
  <si>
    <t>^Hapalemur griseus</t>
  </si>
  <si>
    <t>^Homo sapiens</t>
  </si>
  <si>
    <t>^Lagothrix lagothricha</t>
  </si>
  <si>
    <t>^Macaca arctoides</t>
  </si>
  <si>
    <t>^Macaca cyclopis</t>
  </si>
  <si>
    <t>^Macaca fascicularis</t>
  </si>
  <si>
    <t>^Macaca fuscata</t>
  </si>
  <si>
    <t>^Macaca mulatta</t>
  </si>
  <si>
    <t>^Macaca nemestrina</t>
  </si>
  <si>
    <t>^Macaca radiata</t>
  </si>
  <si>
    <r>
      <t xml:space="preserve">$Microcebus </t>
    </r>
    <r>
      <rPr>
        <sz val="12"/>
        <color theme="1"/>
        <rFont val="Calibri"/>
        <family val="2"/>
        <scheme val="minor"/>
      </rPr>
      <t>(Mouse lemurs)</t>
    </r>
  </si>
  <si>
    <t>^Microcebus murinus</t>
  </si>
  <si>
    <t>^Pan troglodytes</t>
  </si>
  <si>
    <t>^Pithecia pithecia</t>
  </si>
  <si>
    <t>^Saguinus fuscicolis</t>
  </si>
  <si>
    <t>^Saguinus imperator</t>
  </si>
  <si>
    <t>^Saguinus midas</t>
  </si>
  <si>
    <t>^Saguinus nigricollis</t>
  </si>
  <si>
    <t>^Saguinus oedipus</t>
  </si>
  <si>
    <t>^Saimiri sciureus</t>
  </si>
  <si>
    <r>
      <t xml:space="preserve">$Allenopithecus </t>
    </r>
    <r>
      <rPr>
        <sz val="12"/>
        <color theme="1"/>
        <rFont val="Calibri"/>
        <family val="2"/>
        <scheme val="minor"/>
      </rPr>
      <t>(Allen's swamp monkey)</t>
    </r>
  </si>
  <si>
    <r>
      <t xml:space="preserve">$Alouatta </t>
    </r>
    <r>
      <rPr>
        <sz val="12"/>
        <color theme="1"/>
        <rFont val="Calibri"/>
        <family val="2"/>
        <scheme val="minor"/>
      </rPr>
      <t>(Howler monkeys)</t>
    </r>
  </si>
  <si>
    <r>
      <t xml:space="preserve">$Aotus </t>
    </r>
    <r>
      <rPr>
        <sz val="12"/>
        <color theme="1"/>
        <rFont val="Calibri"/>
        <family val="2"/>
        <scheme val="minor"/>
      </rPr>
      <t>(Owl monkeys)</t>
    </r>
  </si>
  <si>
    <r>
      <t xml:space="preserve">$Ateles </t>
    </r>
    <r>
      <rPr>
        <sz val="12"/>
        <color theme="1"/>
        <rFont val="Calibri"/>
        <family val="2"/>
        <scheme val="minor"/>
      </rPr>
      <t>(Spider monkeys)</t>
    </r>
  </si>
  <si>
    <r>
      <t xml:space="preserve">$Callimico </t>
    </r>
    <r>
      <rPr>
        <sz val="12"/>
        <color theme="1"/>
        <rFont val="Calibri"/>
        <family val="2"/>
        <scheme val="minor"/>
      </rPr>
      <t>(Goeldi's marmoset)</t>
    </r>
  </si>
  <si>
    <r>
      <t xml:space="preserve">$Callithrix </t>
    </r>
    <r>
      <rPr>
        <sz val="12"/>
        <color theme="1"/>
        <rFont val="Calibri"/>
        <family val="2"/>
        <scheme val="minor"/>
      </rPr>
      <t>(Marmosets/Tamarins)</t>
    </r>
  </si>
  <si>
    <r>
      <t xml:space="preserve">$Cercopithecus </t>
    </r>
    <r>
      <rPr>
        <sz val="12"/>
        <color theme="1"/>
        <rFont val="Calibri"/>
        <family val="2"/>
        <scheme val="minor"/>
      </rPr>
      <t>(Guenons)</t>
    </r>
  </si>
  <si>
    <r>
      <t xml:space="preserve">$Eulemur </t>
    </r>
    <r>
      <rPr>
        <sz val="12"/>
        <color theme="1"/>
        <rFont val="Calibri"/>
        <family val="2"/>
        <scheme val="minor"/>
      </rPr>
      <t>(True lemurs)</t>
    </r>
  </si>
  <si>
    <r>
      <t xml:space="preserve">$Galago </t>
    </r>
    <r>
      <rPr>
        <sz val="12"/>
        <color theme="1"/>
        <rFont val="Calibri"/>
        <family val="2"/>
        <scheme val="minor"/>
      </rPr>
      <t>(Bush babies)</t>
    </r>
  </si>
  <si>
    <r>
      <t xml:space="preserve">$Hapalemur </t>
    </r>
    <r>
      <rPr>
        <sz val="12"/>
        <color theme="1"/>
        <rFont val="Calibri"/>
        <family val="2"/>
        <scheme val="minor"/>
      </rPr>
      <t>(Gentle lemurs)</t>
    </r>
  </si>
  <si>
    <r>
      <t xml:space="preserve">$Homo </t>
    </r>
    <r>
      <rPr>
        <sz val="12"/>
        <color theme="1"/>
        <rFont val="Calibri"/>
        <family val="2"/>
        <scheme val="minor"/>
      </rPr>
      <t>(Humans)</t>
    </r>
  </si>
  <si>
    <r>
      <t xml:space="preserve">$Lagothrix </t>
    </r>
    <r>
      <rPr>
        <sz val="12"/>
        <color theme="1"/>
        <rFont val="Calibri"/>
        <family val="2"/>
        <scheme val="minor"/>
      </rPr>
      <t>(Woolly monkeys)</t>
    </r>
  </si>
  <si>
    <r>
      <t xml:space="preserve">$Macaca </t>
    </r>
    <r>
      <rPr>
        <sz val="12"/>
        <color theme="1"/>
        <rFont val="Calibri"/>
        <family val="2"/>
        <scheme val="minor"/>
      </rPr>
      <t>(Macaques)</t>
    </r>
  </si>
  <si>
    <r>
      <t xml:space="preserve">$Pan </t>
    </r>
    <r>
      <rPr>
        <sz val="12"/>
        <color theme="1"/>
        <rFont val="Calibri"/>
        <family val="2"/>
        <scheme val="minor"/>
      </rPr>
      <t>(Chimpanzees)</t>
    </r>
  </si>
  <si>
    <r>
      <t xml:space="preserve">$Pithecia </t>
    </r>
    <r>
      <rPr>
        <sz val="12"/>
        <color theme="1"/>
        <rFont val="Calibri"/>
        <family val="2"/>
        <scheme val="minor"/>
      </rPr>
      <t>(Saki monkeys)</t>
    </r>
  </si>
  <si>
    <r>
      <t xml:space="preserve">$Saguinus </t>
    </r>
    <r>
      <rPr>
        <sz val="12"/>
        <color theme="1"/>
        <rFont val="Calibri"/>
        <family val="2"/>
        <scheme val="minor"/>
      </rPr>
      <t>(Tamarins)</t>
    </r>
  </si>
  <si>
    <r>
      <t xml:space="preserve">$Saimiri </t>
    </r>
    <r>
      <rPr>
        <sz val="12"/>
        <color theme="1"/>
        <rFont val="Calibri"/>
        <family val="2"/>
        <scheme val="minor"/>
      </rPr>
      <t>(Squirrel monkey)</t>
    </r>
  </si>
  <si>
    <t>^Tupaia glis</t>
  </si>
  <si>
    <r>
      <t xml:space="preserve">$Tupaia </t>
    </r>
    <r>
      <rPr>
        <sz val="12"/>
        <color theme="1"/>
        <rFont val="Calibri"/>
        <family val="2"/>
        <scheme val="minor"/>
      </rPr>
      <t>(Tree shrews)</t>
    </r>
  </si>
  <si>
    <t>1/55</t>
  </si>
  <si>
    <t>1/20</t>
  </si>
  <si>
    <t>1/150</t>
  </si>
  <si>
    <t>1/41</t>
  </si>
  <si>
    <t>2/18</t>
  </si>
  <si>
    <t>1/6</t>
  </si>
  <si>
    <t>1/3</t>
  </si>
  <si>
    <t>1/5</t>
  </si>
  <si>
    <t>1/23</t>
  </si>
  <si>
    <t>1/4</t>
  </si>
  <si>
    <t>^Myomyscus brockmani (Ochromyscus)</t>
  </si>
  <si>
    <t>Species Sampled:</t>
  </si>
  <si>
    <t>Genera Sampled:</t>
  </si>
  <si>
    <t>Genetic Sequence Available</t>
  </si>
  <si>
    <r>
      <t xml:space="preserve">Positive for </t>
    </r>
    <r>
      <rPr>
        <b/>
        <i/>
        <sz val="12"/>
        <color theme="1"/>
        <rFont val="Calibri"/>
        <family val="2"/>
        <scheme val="minor"/>
      </rPr>
      <t>Pneumocystis</t>
    </r>
  </si>
  <si>
    <t>Mammal Species Sampled</t>
  </si>
  <si>
    <t>2/129</t>
  </si>
  <si>
    <t>2/12</t>
  </si>
  <si>
    <t>Total Genera Sampled:</t>
  </si>
  <si>
    <t>Total Species Sampled:</t>
  </si>
  <si>
    <r>
      <t xml:space="preserve">Species positive for </t>
    </r>
    <r>
      <rPr>
        <b/>
        <i/>
        <sz val="12"/>
        <color theme="1"/>
        <rFont val="Calibri"/>
        <family val="2"/>
        <scheme val="minor"/>
      </rPr>
      <t>Pneumocystis</t>
    </r>
    <r>
      <rPr>
        <b/>
        <sz val="12"/>
        <color theme="1"/>
        <rFont val="Calibri"/>
        <family val="2"/>
        <scheme val="minor"/>
      </rPr>
      <t>:</t>
    </r>
  </si>
  <si>
    <r>
      <t xml:space="preserve">Species negative for </t>
    </r>
    <r>
      <rPr>
        <b/>
        <i/>
        <sz val="12"/>
        <color theme="1"/>
        <rFont val="Calibri"/>
        <family val="2"/>
        <scheme val="minor"/>
      </rPr>
      <t>Pneumocystis</t>
    </r>
    <r>
      <rPr>
        <b/>
        <sz val="12"/>
        <color theme="1"/>
        <rFont val="Calibri"/>
        <family val="2"/>
        <scheme val="minor"/>
      </rPr>
      <t>:</t>
    </r>
  </si>
  <si>
    <t>Genetic data available:</t>
  </si>
  <si>
    <t>No genetic data:</t>
  </si>
  <si>
    <t>Total microscopy ID only:</t>
  </si>
  <si>
    <r>
      <t xml:space="preserve">Species negative for </t>
    </r>
    <r>
      <rPr>
        <b/>
        <i/>
        <sz val="12"/>
        <color theme="1"/>
        <rFont val="Calibri"/>
        <family val="2"/>
        <scheme val="minor"/>
      </rPr>
      <t>Pneumocystis:</t>
    </r>
  </si>
  <si>
    <t>Genetic data avaialble:</t>
  </si>
  <si>
    <t>Genetic data unavaialble:</t>
  </si>
  <si>
    <t>8/61</t>
  </si>
  <si>
    <t>/27</t>
  </si>
  <si>
    <r>
      <t xml:space="preserve">$ Rubicapra </t>
    </r>
    <r>
      <rPr>
        <sz val="12"/>
        <color theme="1"/>
        <rFont val="Calibri"/>
        <family val="2"/>
        <scheme val="minor"/>
      </rPr>
      <t>(Chamois)</t>
    </r>
  </si>
  <si>
    <t>^Rubicapra rubicapra</t>
  </si>
  <si>
    <t xml:space="preserve">Weissenbacher-Lang et al. 2023 </t>
  </si>
  <si>
    <r>
      <t xml:space="preserve">$Bubalus </t>
    </r>
    <r>
      <rPr>
        <sz val="12"/>
        <color theme="1"/>
        <rFont val="Calibri"/>
        <family val="2"/>
        <scheme val="minor"/>
      </rPr>
      <t>(Buffalo)</t>
    </r>
  </si>
  <si>
    <t>^Bubalus bubalis</t>
  </si>
  <si>
    <r>
      <t xml:space="preserve">$Camelus </t>
    </r>
    <r>
      <rPr>
        <sz val="12"/>
        <color theme="1"/>
        <rFont val="Calibri"/>
        <family val="2"/>
        <scheme val="minor"/>
      </rPr>
      <t>(Camels)</t>
    </r>
  </si>
  <si>
    <t>^Camelus bactrianus</t>
  </si>
  <si>
    <r>
      <t xml:space="preserve">$Lama </t>
    </r>
    <r>
      <rPr>
        <sz val="12"/>
        <color theme="1"/>
        <rFont val="Calibri"/>
        <family val="2"/>
        <scheme val="minor"/>
      </rPr>
      <t>(Llamas)</t>
    </r>
  </si>
  <si>
    <t>^Lama glama</t>
  </si>
  <si>
    <t>^Camelus dromedarius</t>
  </si>
  <si>
    <r>
      <rPr>
        <b/>
        <sz val="12"/>
        <color theme="1"/>
        <rFont val="Calibri"/>
        <family val="2"/>
        <scheme val="minor"/>
      </rPr>
      <t xml:space="preserve">$Cervus </t>
    </r>
    <r>
      <rPr>
        <sz val="12"/>
        <color theme="1"/>
        <rFont val="Calibri"/>
        <family val="2"/>
        <scheme val="minor"/>
      </rPr>
      <t>(Deer)</t>
    </r>
  </si>
  <si>
    <t>^Cervus elaphus</t>
  </si>
  <si>
    <t>^Cervus nippon</t>
  </si>
  <si>
    <t>^Cervus alfredi</t>
  </si>
  <si>
    <t>^Cervus sp.</t>
  </si>
  <si>
    <t>Weissenbacher-Lang et al. 2024</t>
  </si>
  <si>
    <t>Weissenbacher-Lang et al. 2025</t>
  </si>
  <si>
    <t>Weissenbacher-Lang et al. 2026</t>
  </si>
  <si>
    <t>^Elaphurus davidianus</t>
  </si>
  <si>
    <r>
      <t xml:space="preserve">$Elaphurus </t>
    </r>
    <r>
      <rPr>
        <sz val="12"/>
        <color theme="1"/>
        <rFont val="Calibri"/>
        <family val="2"/>
        <scheme val="minor"/>
      </rPr>
      <t>(Peter David deer)</t>
    </r>
  </si>
  <si>
    <t>^Bos bonasus</t>
  </si>
  <si>
    <r>
      <t xml:space="preserve">$Antilope </t>
    </r>
    <r>
      <rPr>
        <sz val="12"/>
        <color theme="1"/>
        <rFont val="Calibri"/>
        <family val="2"/>
        <scheme val="minor"/>
      </rPr>
      <t>(Blackbuck)</t>
    </r>
  </si>
  <si>
    <t>^Antilope cervicapra</t>
  </si>
  <si>
    <t>^Vicugna pacos</t>
  </si>
  <si>
    <t>^Aonyx cinereus</t>
  </si>
  <si>
    <r>
      <t xml:space="preserve">$Lontra </t>
    </r>
    <r>
      <rPr>
        <sz val="12"/>
        <color theme="1"/>
        <rFont val="Calibri"/>
        <family val="2"/>
        <scheme val="minor"/>
      </rPr>
      <t>(River otters)</t>
    </r>
  </si>
  <si>
    <t>^Lontra canadensis</t>
  </si>
  <si>
    <r>
      <t xml:space="preserve">$Aonyx </t>
    </r>
    <r>
      <rPr>
        <sz val="12"/>
        <color theme="1"/>
        <rFont val="Calibri"/>
        <family val="2"/>
        <scheme val="minor"/>
      </rPr>
      <t>(Clawless otters)</t>
    </r>
  </si>
  <si>
    <t>^Mustela lutreola</t>
  </si>
  <si>
    <t>^Felis silvestris</t>
  </si>
  <si>
    <r>
      <t xml:space="preserve">$Lynx </t>
    </r>
    <r>
      <rPr>
        <sz val="12"/>
        <color theme="1"/>
        <rFont val="Calibri"/>
        <family val="2"/>
        <scheme val="minor"/>
      </rPr>
      <t>(Lynx)</t>
    </r>
  </si>
  <si>
    <t>^Lynx lynx</t>
  </si>
  <si>
    <r>
      <t xml:space="preserve">$Panthera </t>
    </r>
    <r>
      <rPr>
        <sz val="12"/>
        <color theme="1"/>
        <rFont val="Calibri"/>
        <family val="2"/>
        <scheme val="minor"/>
      </rPr>
      <t>(Big cats)</t>
    </r>
  </si>
  <si>
    <t>^Panthera leo</t>
  </si>
  <si>
    <t>^Panthera pardus</t>
  </si>
  <si>
    <t>^Panthera tigris</t>
  </si>
  <si>
    <r>
      <t xml:space="preserve">$Puma </t>
    </r>
    <r>
      <rPr>
        <sz val="12"/>
        <color theme="1"/>
        <rFont val="Calibri"/>
        <family val="2"/>
        <scheme val="minor"/>
      </rPr>
      <t>(Puma)</t>
    </r>
  </si>
  <si>
    <t>^Puma concolor</t>
  </si>
  <si>
    <t xml:space="preserve">Settnes et al. 1986 (Pneumocystis carinii found in lungs of freeliving animals in denmark), Weissenbacher-Lang et al. 2023 </t>
  </si>
  <si>
    <t xml:space="preserve">^Martes sp. </t>
  </si>
  <si>
    <t>^Canis lupus</t>
  </si>
  <si>
    <t xml:space="preserve">Settnes et al. 1986 (Pneumocystis carinii found in lungs of freeliving animals in denmark), Danesi et al. 2015 (http://dx.doi.org/10.1016/j.funbio.2015.08.019), Weissenbacher-Lang et al. 2023 </t>
  </si>
  <si>
    <r>
      <t xml:space="preserve">$Lutra </t>
    </r>
    <r>
      <rPr>
        <sz val="12"/>
        <color theme="1"/>
        <rFont val="Calibri"/>
        <family val="2"/>
        <scheme val="minor"/>
      </rPr>
      <t>(River otters)</t>
    </r>
  </si>
  <si>
    <t>^Lutra lutra</t>
  </si>
  <si>
    <r>
      <t xml:space="preserve">$Mephitis </t>
    </r>
    <r>
      <rPr>
        <sz val="12"/>
        <color theme="1"/>
        <rFont val="Calibri"/>
        <family val="2"/>
        <scheme val="minor"/>
      </rPr>
      <t>(Skunks)</t>
    </r>
  </si>
  <si>
    <t>^Mephitis mephitis</t>
  </si>
  <si>
    <r>
      <t xml:space="preserve">$Procyon </t>
    </r>
    <r>
      <rPr>
        <sz val="12"/>
        <color theme="1"/>
        <rFont val="Calibri"/>
        <family val="2"/>
        <scheme val="minor"/>
      </rPr>
      <t xml:space="preserve">(Racoons) </t>
    </r>
  </si>
  <si>
    <t>^Procyon lotor</t>
  </si>
  <si>
    <t>^Pteropus giganteus</t>
  </si>
  <si>
    <t>^Pteropus sp.</t>
  </si>
  <si>
    <r>
      <t xml:space="preserve">$Cynopterus </t>
    </r>
    <r>
      <rPr>
        <sz val="12"/>
        <color theme="1"/>
        <rFont val="Calibri"/>
        <family val="2"/>
        <scheme val="minor"/>
      </rPr>
      <t>(Short-nosed fruit bats)</t>
    </r>
  </si>
  <si>
    <t>^Cynopterus sp.</t>
  </si>
  <si>
    <r>
      <t xml:space="preserve">$Rhinolophus </t>
    </r>
    <r>
      <rPr>
        <sz val="12"/>
        <color theme="1"/>
        <rFont val="Calibri"/>
        <family val="2"/>
        <scheme val="minor"/>
      </rPr>
      <t>(Horsehoe bats)</t>
    </r>
  </si>
  <si>
    <t>^Rhinolophus hipposidenus</t>
  </si>
  <si>
    <r>
      <t xml:space="preserve">$Vespertilio </t>
    </r>
    <r>
      <rPr>
        <sz val="12"/>
        <color theme="1"/>
        <rFont val="Calibri"/>
        <family val="2"/>
        <scheme val="minor"/>
      </rPr>
      <t>(Vesper bats)</t>
    </r>
  </si>
  <si>
    <t xml:space="preserve">^Vespertilio sp. </t>
  </si>
  <si>
    <r>
      <t xml:space="preserve">$Hypsugo </t>
    </r>
    <r>
      <rPr>
        <sz val="12"/>
        <color theme="1"/>
        <rFont val="Calibri"/>
        <family val="2"/>
        <scheme val="minor"/>
      </rPr>
      <t>(Pipistrelle bats)</t>
    </r>
  </si>
  <si>
    <t>^Hypsugo savii</t>
  </si>
  <si>
    <t xml:space="preserve">NA </t>
  </si>
  <si>
    <t>^Myotis mystacinus</t>
  </si>
  <si>
    <t>Weissenbacher-Lang et al. 2023</t>
  </si>
  <si>
    <t>^Vespertilio murinus</t>
  </si>
  <si>
    <t>Sebek and Rosicky 1967 (The finding of Pneumocystis carinii in shrews), Weissenbacher-Lang et al. 2023</t>
  </si>
  <si>
    <t>Settnes et al. 1986 (Pneumocystis carinii found in lungs of freeliving animals in denmark), Weissenbacher-Lang et al. 2023</t>
  </si>
  <si>
    <r>
      <t xml:space="preserve">$Atelerix </t>
    </r>
    <r>
      <rPr>
        <sz val="12"/>
        <color theme="1"/>
        <rFont val="Calibri"/>
        <family val="2"/>
        <scheme val="minor"/>
      </rPr>
      <t>(African hedgehogs)</t>
    </r>
  </si>
  <si>
    <t>^Atelerix albiventris</t>
  </si>
  <si>
    <t>^Erinaceus roumanicus</t>
  </si>
  <si>
    <t>^Crocidura leucodon</t>
  </si>
  <si>
    <t>^Equus asinus</t>
  </si>
  <si>
    <t>^Equus quagga</t>
  </si>
  <si>
    <r>
      <t>$Leontocebus</t>
    </r>
    <r>
      <rPr>
        <sz val="12"/>
        <color theme="1"/>
        <rFont val="Calibri"/>
        <family val="2"/>
        <scheme val="minor"/>
      </rPr>
      <t xml:space="preserve"> (Saddle-back tamarins)</t>
    </r>
  </si>
  <si>
    <t>^Leontocebus fuscicollis</t>
  </si>
  <si>
    <r>
      <t xml:space="preserve">$Leontopithecus </t>
    </r>
    <r>
      <rPr>
        <sz val="12"/>
        <color theme="1"/>
        <rFont val="Calibri"/>
        <family val="2"/>
        <scheme val="minor"/>
      </rPr>
      <t>(Lion tamarins)</t>
    </r>
  </si>
  <si>
    <t>^Leontopithecus rosalia</t>
  </si>
  <si>
    <r>
      <t xml:space="preserve">$Cebus </t>
    </r>
    <r>
      <rPr>
        <sz val="12"/>
        <color theme="1"/>
        <rFont val="Calibri"/>
        <family val="2"/>
        <scheme val="minor"/>
      </rPr>
      <t>(Capuchin monkeys)</t>
    </r>
  </si>
  <si>
    <t>^Cebus capucinus</t>
  </si>
  <si>
    <r>
      <t xml:space="preserve">$Colobus </t>
    </r>
    <r>
      <rPr>
        <sz val="12"/>
        <color theme="1"/>
        <rFont val="Calibri"/>
        <family val="2"/>
        <scheme val="minor"/>
      </rPr>
      <t>(Colobus monkeys)</t>
    </r>
  </si>
  <si>
    <t>^Colobus polykomos</t>
  </si>
  <si>
    <t>^Macaca sylvanus</t>
  </si>
  <si>
    <t xml:space="preserve">$Theropithecus </t>
  </si>
  <si>
    <t>^Theropithecus gelada</t>
  </si>
  <si>
    <t>^Colobus guereza</t>
  </si>
  <si>
    <r>
      <t xml:space="preserve">$Pongo </t>
    </r>
    <r>
      <rPr>
        <sz val="12"/>
        <color theme="1"/>
        <rFont val="Calibri"/>
        <family val="2"/>
        <scheme val="minor"/>
      </rPr>
      <t>(Orangutan)</t>
    </r>
  </si>
  <si>
    <t>^Pongo sp.</t>
  </si>
  <si>
    <r>
      <t xml:space="preserve">$Castor </t>
    </r>
    <r>
      <rPr>
        <sz val="12"/>
        <color theme="1"/>
        <rFont val="Calibri"/>
        <family val="2"/>
        <scheme val="minor"/>
      </rPr>
      <t>(Beavers)</t>
    </r>
  </si>
  <si>
    <t>^Castor fiber</t>
  </si>
  <si>
    <r>
      <rPr>
        <b/>
        <sz val="12"/>
        <color theme="1"/>
        <rFont val="Calibri"/>
        <family val="2"/>
        <scheme val="minor"/>
      </rPr>
      <t>$Kerodon</t>
    </r>
    <r>
      <rPr>
        <sz val="12"/>
        <color theme="1"/>
        <rFont val="Calibri"/>
        <family val="2"/>
        <scheme val="minor"/>
      </rPr>
      <t xml:space="preserve"> (Rock cavies)</t>
    </r>
  </si>
  <si>
    <t>^Kerodon rupestris</t>
  </si>
  <si>
    <t>^Phodopus sungorus</t>
  </si>
  <si>
    <t>^Mus saxicola</t>
  </si>
  <si>
    <r>
      <rPr>
        <b/>
        <sz val="12"/>
        <color theme="1"/>
        <rFont val="Calibri"/>
        <family val="2"/>
        <scheme val="minor"/>
      </rPr>
      <t>$Octodon</t>
    </r>
    <r>
      <rPr>
        <sz val="12"/>
        <color theme="1"/>
        <rFont val="Calibri"/>
        <family val="2"/>
        <scheme val="minor"/>
      </rPr>
      <t xml:space="preserve"> (Degus)</t>
    </r>
  </si>
  <si>
    <t>^Octodon degus</t>
  </si>
  <si>
    <r>
      <t xml:space="preserve">$Tamiops </t>
    </r>
    <r>
      <rPr>
        <sz val="12"/>
        <color theme="1"/>
        <rFont val="Calibri"/>
        <family val="2"/>
        <scheme val="minor"/>
      </rPr>
      <t>(Striped squirrels)</t>
    </r>
  </si>
  <si>
    <t>^Tamiops swinhoei</t>
  </si>
  <si>
    <t>^Tamias sp.</t>
  </si>
  <si>
    <r>
      <t xml:space="preserve">$Tamias </t>
    </r>
    <r>
      <rPr>
        <sz val="12"/>
        <color theme="1"/>
        <rFont val="Calibri"/>
        <family val="2"/>
        <scheme val="minor"/>
      </rPr>
      <t>(Chipmunks)</t>
    </r>
  </si>
  <si>
    <t>^Sciurus vulgaris</t>
  </si>
  <si>
    <t>mtSSU, 18s</t>
  </si>
  <si>
    <t>5.8S, ITS, 18S</t>
  </si>
  <si>
    <t>mtLSU but not on Genbank</t>
  </si>
  <si>
    <r>
      <rPr>
        <b/>
        <sz val="12"/>
        <color theme="1"/>
        <rFont val="Calibri"/>
        <family val="2"/>
        <scheme val="minor"/>
      </rPr>
      <t xml:space="preserve">$Dama </t>
    </r>
    <r>
      <rPr>
        <sz val="12"/>
        <color theme="1"/>
        <rFont val="Calibri"/>
        <family val="2"/>
        <scheme val="minor"/>
      </rPr>
      <t>(Fallow Deer)</t>
    </r>
  </si>
  <si>
    <t>^Dama dama</t>
  </si>
  <si>
    <t>Settnes and Henriksen 1989</t>
  </si>
  <si>
    <t>$Muntiacus</t>
  </si>
  <si>
    <t>^Muntiacus muntjak</t>
  </si>
  <si>
    <t>Van der Meer and Brug 1942</t>
  </si>
  <si>
    <t>^Rusa unicolor</t>
  </si>
  <si>
    <r>
      <t>$Rusa</t>
    </r>
    <r>
      <rPr>
        <sz val="12"/>
        <color theme="1"/>
        <rFont val="Calibri"/>
        <family val="2"/>
        <scheme val="minor"/>
      </rPr>
      <t xml:space="preserve"> (sambar)</t>
    </r>
  </si>
  <si>
    <t>^Canis aureus</t>
  </si>
  <si>
    <t>Kureljušić et al. 2022</t>
  </si>
  <si>
    <t>$Neogale</t>
  </si>
  <si>
    <t>^Neogale vison</t>
  </si>
  <si>
    <t>Dyer and Schamber 1999</t>
  </si>
  <si>
    <r>
      <rPr>
        <b/>
        <sz val="12"/>
        <color theme="1"/>
        <rFont val="Calibri"/>
        <family val="2"/>
        <scheme val="minor"/>
      </rPr>
      <t>$Rhinophylla</t>
    </r>
    <r>
      <rPr>
        <sz val="12"/>
        <color theme="1"/>
        <rFont val="Calibri"/>
        <family val="2"/>
        <scheme val="minor"/>
      </rPr>
      <t xml:space="preserve"> (Little fruit bats)</t>
    </r>
  </si>
  <si>
    <t>^Rhinophylla pumilio</t>
  </si>
  <si>
    <t>Veloso et al. 2014</t>
  </si>
  <si>
    <t>^Lasiurus cinereus</t>
  </si>
  <si>
    <t>mtSSU (not on GenBank)</t>
  </si>
  <si>
    <r>
      <rPr>
        <b/>
        <sz val="12"/>
        <color theme="1"/>
        <rFont val="Calibri"/>
        <family val="2"/>
        <scheme val="minor"/>
      </rPr>
      <t xml:space="preserve">$Dendrohyrax </t>
    </r>
    <r>
      <rPr>
        <sz val="12"/>
        <color theme="1"/>
        <rFont val="Calibri"/>
        <family val="2"/>
        <scheme val="minor"/>
      </rPr>
      <t>(Tree hyraxes)</t>
    </r>
  </si>
  <si>
    <t>^Dendrohyrax arboreus</t>
  </si>
  <si>
    <t>^Lepus townsendii</t>
  </si>
  <si>
    <t>mtSSU, mtLSU, DHPS, ITS</t>
  </si>
  <si>
    <t>Ma et al. 2024</t>
  </si>
  <si>
    <r>
      <rPr>
        <b/>
        <sz val="12"/>
        <color theme="1"/>
        <rFont val="Calibri"/>
        <family val="2"/>
        <scheme val="minor"/>
      </rPr>
      <t>$Chinchilla (</t>
    </r>
    <r>
      <rPr>
        <sz val="12"/>
        <color theme="1"/>
        <rFont val="Calibri"/>
        <family val="2"/>
        <scheme val="minor"/>
      </rPr>
      <t>Chinchillas)</t>
    </r>
  </si>
  <si>
    <t>^Chinchilla lanigera</t>
  </si>
  <si>
    <r>
      <rPr>
        <b/>
        <sz val="12"/>
        <color theme="1"/>
        <rFont val="Calibri"/>
        <family val="2"/>
        <scheme val="minor"/>
      </rPr>
      <t xml:space="preserve">$Cricetus </t>
    </r>
    <r>
      <rPr>
        <sz val="12"/>
        <color theme="1"/>
        <rFont val="Calibri"/>
        <family val="2"/>
        <scheme val="minor"/>
      </rPr>
      <t>(Hamsters)</t>
    </r>
  </si>
  <si>
    <t>^Cricetus cricetus</t>
  </si>
  <si>
    <r>
      <t xml:space="preserve">$Hylaemys </t>
    </r>
    <r>
      <rPr>
        <sz val="12"/>
        <color theme="1"/>
        <rFont val="Calibri"/>
        <family val="2"/>
        <scheme val="minor"/>
      </rPr>
      <t>(Rice rats)</t>
    </r>
  </si>
  <si>
    <t>^Hylaeamys megacephalus</t>
  </si>
  <si>
    <t>Lainson and Shaw 1975</t>
  </si>
  <si>
    <t>^Myodes rufocanus</t>
  </si>
  <si>
    <r>
      <rPr>
        <b/>
        <sz val="12"/>
        <color theme="1"/>
        <rFont val="Calibri"/>
        <family val="2"/>
        <scheme val="minor"/>
      </rPr>
      <t>$Dipodomys</t>
    </r>
    <r>
      <rPr>
        <sz val="12"/>
        <color theme="1"/>
        <rFont val="Calibri"/>
        <family val="2"/>
        <scheme val="minor"/>
      </rPr>
      <t xml:space="preserve"> (Kangaroo rats)</t>
    </r>
  </si>
  <si>
    <t>^Dipodomys merriami</t>
  </si>
  <si>
    <t>ITS</t>
  </si>
  <si>
    <t>Salazar-Hamm et al. 2022</t>
  </si>
  <si>
    <r>
      <rPr>
        <b/>
        <sz val="12"/>
        <color theme="1"/>
        <rFont val="Calibri"/>
        <family val="2"/>
        <scheme val="minor"/>
      </rPr>
      <t>$Perognathus</t>
    </r>
    <r>
      <rPr>
        <sz val="12"/>
        <color theme="1"/>
        <rFont val="Calibri"/>
        <family val="2"/>
        <scheme val="minor"/>
      </rPr>
      <t xml:space="preserve"> (Pocket mice)</t>
    </r>
  </si>
  <si>
    <t xml:space="preserve">^Perognathus sp. </t>
  </si>
  <si>
    <t>72/529</t>
  </si>
  <si>
    <t>17/131</t>
  </si>
  <si>
    <t>22/359</t>
  </si>
  <si>
    <t>30/307</t>
  </si>
  <si>
    <t>20/130</t>
  </si>
  <si>
    <t>45/1447</t>
  </si>
  <si>
    <t>29/237</t>
  </si>
  <si>
    <t>19/564</t>
  </si>
  <si>
    <t>2/6</t>
  </si>
  <si>
    <t>2/3</t>
  </si>
  <si>
    <t>4/106</t>
  </si>
  <si>
    <t>3/18</t>
  </si>
  <si>
    <t>3/16</t>
  </si>
  <si>
    <t>2/5</t>
  </si>
  <si>
    <t>42/516</t>
  </si>
  <si>
    <t>23/84</t>
  </si>
  <si>
    <r>
      <rPr>
        <b/>
        <sz val="12"/>
        <color theme="1"/>
        <rFont val="Calibri"/>
        <family val="2"/>
        <scheme val="minor"/>
      </rPr>
      <t>$Onychomys</t>
    </r>
    <r>
      <rPr>
        <sz val="12"/>
        <color theme="1"/>
        <rFont val="Calibri"/>
        <family val="2"/>
        <scheme val="minor"/>
      </rPr>
      <t xml:space="preserve"> (Grasshopper mice)</t>
    </r>
  </si>
  <si>
    <t>^Onychomys sp.</t>
  </si>
  <si>
    <t>^Sigmodon sp.</t>
  </si>
  <si>
    <r>
      <t xml:space="preserve">$Sigmodon </t>
    </r>
    <r>
      <rPr>
        <sz val="12"/>
        <color theme="1"/>
        <rFont val="Calibri"/>
        <family val="2"/>
        <scheme val="minor"/>
      </rPr>
      <t>(Cotton rats)</t>
    </r>
  </si>
  <si>
    <r>
      <rPr>
        <b/>
        <sz val="12"/>
        <color theme="1"/>
        <rFont val="Calibri"/>
        <family val="2"/>
        <scheme val="minor"/>
      </rPr>
      <t>$Otospermophilus</t>
    </r>
    <r>
      <rPr>
        <sz val="12"/>
        <color theme="1"/>
        <rFont val="Calibri"/>
        <family val="2"/>
        <scheme val="minor"/>
      </rPr>
      <t xml:space="preserve"> (rock squirrels)</t>
    </r>
  </si>
  <si>
    <t>^Otospermophilus variegatus</t>
  </si>
  <si>
    <t>Nuclear data:</t>
  </si>
  <si>
    <t xml:space="preserve">133/2623	</t>
  </si>
  <si>
    <t>Ma et al. 2024 (DOI:10.3390/jof10050355)</t>
  </si>
  <si>
    <r>
      <t>^</t>
    </r>
    <r>
      <rPr>
        <sz val="12"/>
        <color theme="1"/>
        <rFont val="Calibri"/>
        <family val="2"/>
        <scheme val="minor"/>
      </rPr>
      <t>Neomys anomalus</t>
    </r>
  </si>
  <si>
    <t>Settnes and Henrickson 1989 (Pneumocystis carinii in large domestic animals in Denmark), Weissenbacher-Lang et al. 2023 (https://doi.org/10.3390/jof9020220)</t>
  </si>
  <si>
    <t>Babb-Biernacki et al. 2025 (https://doi.org/10.1016/j.meegid.2025.105767)</t>
  </si>
  <si>
    <t>mtLSU, mtSSU, fas, ITS</t>
  </si>
  <si>
    <r>
      <t xml:space="preserve">$Micropotamogale </t>
    </r>
    <r>
      <rPr>
        <sz val="12"/>
        <color theme="1"/>
        <rFont val="Calibri"/>
        <family val="2"/>
        <scheme val="minor"/>
      </rPr>
      <t>(dwarf otter shrews)</t>
    </r>
  </si>
  <si>
    <t>^Micropotamogale ruwenzorii</t>
  </si>
  <si>
    <t xml:space="preserve">mtLSU, mtSSU </t>
  </si>
  <si>
    <t>Babb-Biernacki et al. 2026</t>
  </si>
  <si>
    <t>SODA, mitogenome</t>
  </si>
  <si>
    <r>
      <rPr>
        <b/>
        <sz val="12"/>
        <color theme="1"/>
        <rFont val="Calibri"/>
        <family val="2"/>
        <scheme val="minor"/>
      </rPr>
      <t>$Megaloglossus</t>
    </r>
    <r>
      <rPr>
        <sz val="12"/>
        <color theme="1"/>
        <rFont val="Calibri"/>
        <family val="2"/>
        <scheme val="minor"/>
      </rPr>
      <t xml:space="preserve"> (Long-tongued fruit bats)</t>
    </r>
  </si>
  <si>
    <t>^Megaloglossus woermanni</t>
  </si>
  <si>
    <t>^Crocidura cf. littoralis</t>
  </si>
  <si>
    <t>^Crocidura crenata</t>
  </si>
  <si>
    <t>^Crocidura hildegardeae</t>
  </si>
  <si>
    <t>^Crocidura kivuana</t>
  </si>
  <si>
    <t>^Crocidura latona</t>
  </si>
  <si>
    <t>^Crocidura littoralis</t>
  </si>
  <si>
    <t>^Crocidura olivieri</t>
  </si>
  <si>
    <r>
      <rPr>
        <b/>
        <sz val="12"/>
        <color theme="1"/>
        <rFont val="Calibri"/>
        <family val="2"/>
        <scheme val="minor"/>
      </rPr>
      <t xml:space="preserve">$Myosorex </t>
    </r>
    <r>
      <rPr>
        <sz val="12"/>
        <color theme="1"/>
        <rFont val="Calibri"/>
        <family val="2"/>
        <scheme val="minor"/>
      </rPr>
      <t>(Mouse shrews)</t>
    </r>
  </si>
  <si>
    <t>^Myosorex schalleri</t>
  </si>
  <si>
    <r>
      <rPr>
        <b/>
        <sz val="12"/>
        <color theme="1"/>
        <rFont val="Calibri"/>
        <family val="2"/>
        <scheme val="minor"/>
      </rPr>
      <t>$Sylvisorex</t>
    </r>
    <r>
      <rPr>
        <sz val="12"/>
        <color theme="1"/>
        <rFont val="Calibri"/>
        <family val="2"/>
        <scheme val="minor"/>
      </rPr>
      <t xml:space="preserve"> (Forest shrews)</t>
    </r>
  </si>
  <si>
    <r>
      <t xml:space="preserve">$Suncus </t>
    </r>
    <r>
      <rPr>
        <sz val="12"/>
        <color theme="1"/>
        <rFont val="Calibri"/>
        <family val="2"/>
        <scheme val="minor"/>
      </rPr>
      <t>(Pygmy shrews)</t>
    </r>
  </si>
  <si>
    <t>^Sylvisorex lunaris</t>
  </si>
  <si>
    <t>^Sylvisorex vulcanorum</t>
  </si>
  <si>
    <t>^Graphiurus cf. microtus</t>
  </si>
  <si>
    <r>
      <rPr>
        <b/>
        <sz val="12"/>
        <color theme="1"/>
        <rFont val="Calibri"/>
        <family val="2"/>
        <scheme val="minor"/>
      </rPr>
      <t>$Colomys</t>
    </r>
    <r>
      <rPr>
        <sz val="12"/>
        <color theme="1"/>
        <rFont val="Calibri"/>
        <family val="2"/>
        <scheme val="minor"/>
      </rPr>
      <t xml:space="preserve"> (Wading rats)</t>
    </r>
  </si>
  <si>
    <t>^Colomys goslingi</t>
  </si>
  <si>
    <t>^Grammomys dryas</t>
  </si>
  <si>
    <r>
      <rPr>
        <b/>
        <sz val="12"/>
        <color theme="1"/>
        <rFont val="Calibri"/>
        <family val="2"/>
        <scheme val="minor"/>
      </rPr>
      <t>$Hybomys</t>
    </r>
    <r>
      <rPr>
        <sz val="12"/>
        <color theme="1"/>
        <rFont val="Calibri"/>
        <family val="2"/>
        <scheme val="minor"/>
      </rPr>
      <t xml:space="preserve"> (Striped mice)</t>
    </r>
  </si>
  <si>
    <t>^Hybomys lunaris</t>
  </si>
  <si>
    <t>^Hybomys univittatus</t>
  </si>
  <si>
    <t>^Hylomyscus vulcanorum</t>
  </si>
  <si>
    <t>COB, mtLSU, mtSSU</t>
  </si>
  <si>
    <t>Petruzela et al. 2019 (https://doi.org/10.1016/j.meegid.2019.103934), Babb-Biernacki et al. 2026</t>
  </si>
  <si>
    <t>^Lophuromys aquilus</t>
  </si>
  <si>
    <t>^Lophuromys cf. cinereus</t>
  </si>
  <si>
    <t>^Lophuromys woosnami</t>
  </si>
  <si>
    <r>
      <rPr>
        <b/>
        <sz val="12"/>
        <color theme="1"/>
        <rFont val="Calibri"/>
        <family val="2"/>
        <scheme val="minor"/>
      </rPr>
      <t>$Malacomys</t>
    </r>
    <r>
      <rPr>
        <sz val="12"/>
        <color theme="1"/>
        <rFont val="Calibri"/>
        <family val="2"/>
        <scheme val="minor"/>
      </rPr>
      <t xml:space="preserve"> (Swamp rats)</t>
    </r>
  </si>
  <si>
    <t>^Malacomys longipes</t>
  </si>
  <si>
    <r>
      <t xml:space="preserve">$Vicugna </t>
    </r>
    <r>
      <rPr>
        <sz val="12"/>
        <color theme="1"/>
        <rFont val="Calibri"/>
        <family val="2"/>
        <scheme val="minor"/>
      </rPr>
      <t>(Vicuna)</t>
    </r>
  </si>
  <si>
    <t>^Mus bufo</t>
  </si>
  <si>
    <t>^Mus cf. gratus</t>
  </si>
  <si>
    <t>^Mus musculoides</t>
  </si>
  <si>
    <r>
      <rPr>
        <b/>
        <sz val="12"/>
        <color theme="1"/>
        <rFont val="Calibri"/>
        <family val="2"/>
        <scheme val="minor"/>
      </rPr>
      <t xml:space="preserve">$Oenomys </t>
    </r>
    <r>
      <rPr>
        <sz val="12"/>
        <color theme="1"/>
        <rFont val="Calibri"/>
        <family val="2"/>
        <scheme val="minor"/>
      </rPr>
      <t>(Rufous-nosed rats)</t>
    </r>
  </si>
  <si>
    <t>^Oenomys hypoxanthus</t>
  </si>
  <si>
    <t>^Otomys denti</t>
  </si>
  <si>
    <t>^Praomys degraaffi</t>
  </si>
  <si>
    <t>^Praomys jacksoni</t>
  </si>
  <si>
    <r>
      <rPr>
        <b/>
        <sz val="12"/>
        <color theme="1"/>
        <rFont val="Calibri"/>
        <family val="2"/>
        <scheme val="minor"/>
      </rPr>
      <t>$Delanymys</t>
    </r>
    <r>
      <rPr>
        <sz val="12"/>
        <color theme="1"/>
        <rFont val="Calibri"/>
        <family val="2"/>
        <scheme val="minor"/>
      </rPr>
      <t xml:space="preserve"> (Swamp mice)</t>
    </r>
  </si>
  <si>
    <t>^Delanymys brooksi</t>
  </si>
  <si>
    <r>
      <rPr>
        <b/>
        <sz val="12"/>
        <color theme="1"/>
        <rFont val="Calibri"/>
        <family val="2"/>
        <scheme val="minor"/>
      </rPr>
      <t>$Dendromus</t>
    </r>
    <r>
      <rPr>
        <sz val="12"/>
        <color theme="1"/>
        <rFont val="Calibri"/>
        <family val="2"/>
        <scheme val="minor"/>
      </rPr>
      <t xml:space="preserve"> (African climbing mice)</t>
    </r>
  </si>
  <si>
    <t>^Dendromus cf. kahuziensis</t>
  </si>
  <si>
    <t>^Dendromus kivu</t>
  </si>
  <si>
    <r>
      <t xml:space="preserve">$Potos </t>
    </r>
    <r>
      <rPr>
        <sz val="12"/>
        <color theme="1"/>
        <rFont val="Calibri"/>
        <family val="2"/>
        <scheme val="minor"/>
      </rPr>
      <t>(Kinkajou)</t>
    </r>
  </si>
  <si>
    <t>^Potos flavus</t>
  </si>
  <si>
    <t>Díaz-Santana et al. 2026</t>
  </si>
  <si>
    <t>/6774</t>
  </si>
  <si>
    <t>/1363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</si>
</sst>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rgb="FF00B0F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B0F0"/>
      <name val="Calibri"/>
      <family val="2"/>
      <scheme val="minor"/>
    </font>
    <font>
      <sz val="12"/>
      <color theme="1"/>
      <name val="Calibri (Body)"/>
    </font>
    <font>
      <b/>
      <sz val="12"/>
      <color rgb="FF00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rgb="FF0070C0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horizontal="fill"/>
    </xf>
    <xf numFmtId="0" fontId="3" fillId="0" borderId="0" xfId="0" applyFont="1" applyAlignment="1">
      <alignment horizontal="fill"/>
    </xf>
    <xf numFmtId="0" fontId="0" fillId="0" borderId="0" xfId="0" applyAlignment="1">
      <alignment horizontal="fill" wrapText="1"/>
    </xf>
    <xf numFmtId="0" fontId="6" fillId="0" borderId="0" xfId="0" applyFont="1"/>
    <xf numFmtId="0" fontId="0" fillId="0" borderId="0" xfId="0" applyAlignment="1">
      <alignment horizontal="left"/>
    </xf>
    <xf numFmtId="0" fontId="7" fillId="0" borderId="0" xfId="0" applyFont="1"/>
    <xf numFmtId="0" fontId="1" fillId="0" borderId="0" xfId="0" applyFont="1" applyAlignment="1">
      <alignment horizontal="fill"/>
    </xf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0" fontId="0" fillId="3" borderId="0" xfId="0" applyFill="1"/>
    <xf numFmtId="0" fontId="1" fillId="4" borderId="0" xfId="0" applyFont="1" applyFill="1"/>
    <xf numFmtId="0" fontId="0" fillId="4" borderId="0" xfId="0" applyFill="1"/>
    <xf numFmtId="0" fontId="9" fillId="0" borderId="0" xfId="0" applyFont="1"/>
    <xf numFmtId="0" fontId="5" fillId="0" borderId="0" xfId="0" applyFont="1" applyAlignment="1">
      <alignment horizontal="fill"/>
    </xf>
    <xf numFmtId="0" fontId="1" fillId="5" borderId="0" xfId="0" applyFont="1" applyFill="1"/>
    <xf numFmtId="0" fontId="0" fillId="5" borderId="0" xfId="0" applyFill="1"/>
    <xf numFmtId="0" fontId="1" fillId="6" borderId="0" xfId="0" applyFont="1" applyFill="1"/>
    <xf numFmtId="0" fontId="0" fillId="6" borderId="0" xfId="0" applyFill="1"/>
    <xf numFmtId="0" fontId="1" fillId="7" borderId="0" xfId="0" applyFont="1" applyFill="1"/>
    <xf numFmtId="0" fontId="0" fillId="7" borderId="0" xfId="0" applyFill="1"/>
    <xf numFmtId="0" fontId="1" fillId="8" borderId="0" xfId="0" applyFont="1" applyFill="1"/>
    <xf numFmtId="0" fontId="0" fillId="8" borderId="0" xfId="0" applyFill="1"/>
    <xf numFmtId="49" fontId="0" fillId="3" borderId="0" xfId="0" applyNumberFormat="1" applyFill="1"/>
    <xf numFmtId="49" fontId="0" fillId="2" borderId="0" xfId="0" applyNumberFormat="1" applyFill="1"/>
    <xf numFmtId="0" fontId="6" fillId="3" borderId="0" xfId="0" applyFont="1" applyFill="1"/>
    <xf numFmtId="49" fontId="3" fillId="3" borderId="0" xfId="0" applyNumberFormat="1" applyFont="1" applyFill="1"/>
    <xf numFmtId="0" fontId="6" fillId="2" borderId="0" xfId="0" applyFont="1" applyFill="1"/>
    <xf numFmtId="49" fontId="3" fillId="2" borderId="0" xfId="0" applyNumberFormat="1" applyFont="1" applyFill="1"/>
    <xf numFmtId="0" fontId="6" fillId="9" borderId="0" xfId="0" applyFont="1" applyFill="1"/>
    <xf numFmtId="0" fontId="0" fillId="0" borderId="0" xfId="0" applyAlignment="1">
      <alignment horizontal="right"/>
    </xf>
    <xf numFmtId="0" fontId="0" fillId="10" borderId="0" xfId="0" applyFill="1"/>
    <xf numFmtId="0" fontId="1" fillId="10" borderId="0" xfId="0" applyFont="1" applyFill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1BEFF"/>
      <color rgb="FFE8E1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D6B40-5266-0647-B9F7-12FD34A24624}">
  <dimension ref="A1:I756"/>
  <sheetViews>
    <sheetView tabSelected="1" workbookViewId="0">
      <selection activeCell="B4" sqref="B4"/>
    </sheetView>
  </sheetViews>
  <sheetFormatPr baseColWidth="10" defaultRowHeight="16" x14ac:dyDescent="0.2"/>
  <cols>
    <col min="1" max="1" width="35.33203125" customWidth="1"/>
    <col min="2" max="2" width="30.1640625" customWidth="1"/>
    <col min="3" max="3" width="29" customWidth="1"/>
    <col min="4" max="4" width="22.1640625" customWidth="1"/>
    <col min="5" max="5" width="49.1640625" customWidth="1"/>
    <col min="6" max="6" width="19" customWidth="1"/>
    <col min="7" max="7" width="36.5" customWidth="1"/>
    <col min="8" max="8" width="33.83203125" customWidth="1"/>
    <col min="9" max="9" width="23.6640625" customWidth="1"/>
  </cols>
  <sheetData>
    <row r="1" spans="1:8" x14ac:dyDescent="0.2">
      <c r="A1" s="3" t="s">
        <v>18</v>
      </c>
      <c r="B1">
        <f>A756</f>
        <v>347</v>
      </c>
      <c r="C1" t="s">
        <v>774</v>
      </c>
    </row>
    <row r="2" spans="1:8" x14ac:dyDescent="0.2">
      <c r="A2" s="3" t="s">
        <v>20</v>
      </c>
      <c r="B2">
        <f>A754</f>
        <v>198</v>
      </c>
      <c r="C2" t="s">
        <v>775</v>
      </c>
    </row>
    <row r="3" spans="1:8" x14ac:dyDescent="0.2">
      <c r="A3" s="3" t="s">
        <v>19</v>
      </c>
      <c r="B3" s="34">
        <v>15</v>
      </c>
      <c r="C3" t="s">
        <v>555</v>
      </c>
    </row>
    <row r="4" spans="1:8" x14ac:dyDescent="0.2">
      <c r="A4" s="3" t="s">
        <v>21</v>
      </c>
      <c r="B4" s="34">
        <f>C754</f>
        <v>163</v>
      </c>
      <c r="C4" s="8"/>
    </row>
    <row r="5" spans="1:8" x14ac:dyDescent="0.2">
      <c r="A5" s="3" t="s">
        <v>22</v>
      </c>
      <c r="B5" s="34">
        <f>D754</f>
        <v>78</v>
      </c>
      <c r="C5" s="8"/>
    </row>
    <row r="6" spans="1:8" x14ac:dyDescent="0.2">
      <c r="A6" s="3" t="s">
        <v>23</v>
      </c>
      <c r="B6" s="34">
        <f>B756</f>
        <v>94</v>
      </c>
      <c r="C6" s="8"/>
    </row>
    <row r="7" spans="1:8" x14ac:dyDescent="0.2">
      <c r="A7" s="3"/>
    </row>
    <row r="8" spans="1:8" ht="24" x14ac:dyDescent="0.3">
      <c r="A8" s="17" t="s">
        <v>541</v>
      </c>
      <c r="B8" s="1" t="s">
        <v>540</v>
      </c>
      <c r="C8" s="1" t="s">
        <v>539</v>
      </c>
      <c r="D8" s="1" t="s">
        <v>24</v>
      </c>
      <c r="E8" s="1" t="s">
        <v>26</v>
      </c>
      <c r="F8" s="1" t="s">
        <v>27</v>
      </c>
      <c r="G8" s="1"/>
      <c r="H8" s="1"/>
    </row>
    <row r="9" spans="1:8" x14ac:dyDescent="0.2">
      <c r="B9" s="1"/>
      <c r="C9" s="1"/>
      <c r="D9" s="1"/>
    </row>
    <row r="10" spans="1:8" x14ac:dyDescent="0.2">
      <c r="A10" s="1" t="s">
        <v>271</v>
      </c>
      <c r="B10" s="1"/>
      <c r="C10" s="1"/>
      <c r="D10" s="1"/>
    </row>
    <row r="11" spans="1:8" x14ac:dyDescent="0.2">
      <c r="A11" t="s">
        <v>144</v>
      </c>
      <c r="B11" t="s">
        <v>1</v>
      </c>
      <c r="C11" t="s">
        <v>1</v>
      </c>
      <c r="D11" t="s">
        <v>2</v>
      </c>
      <c r="E11" t="s">
        <v>36</v>
      </c>
      <c r="F11" s="4" t="s">
        <v>38</v>
      </c>
    </row>
    <row r="12" spans="1:8" x14ac:dyDescent="0.2">
      <c r="A12" t="s">
        <v>145</v>
      </c>
      <c r="B12" t="s">
        <v>1</v>
      </c>
      <c r="C12" t="s">
        <v>1</v>
      </c>
      <c r="D12" t="s">
        <v>2</v>
      </c>
      <c r="E12" t="s">
        <v>37</v>
      </c>
      <c r="F12" s="4" t="s">
        <v>38</v>
      </c>
    </row>
    <row r="13" spans="1:8" x14ac:dyDescent="0.2">
      <c r="A13" t="s">
        <v>146</v>
      </c>
      <c r="B13" t="s">
        <v>2</v>
      </c>
      <c r="C13" t="s">
        <v>2</v>
      </c>
      <c r="D13" t="s">
        <v>2</v>
      </c>
      <c r="E13" t="s">
        <v>31</v>
      </c>
      <c r="F13" s="4" t="s">
        <v>38</v>
      </c>
    </row>
    <row r="14" spans="1:8" x14ac:dyDescent="0.2">
      <c r="A14" t="s">
        <v>147</v>
      </c>
      <c r="B14" t="s">
        <v>2</v>
      </c>
      <c r="C14" t="s">
        <v>2</v>
      </c>
      <c r="D14" t="s">
        <v>2</v>
      </c>
      <c r="E14" t="s">
        <v>31</v>
      </c>
      <c r="F14" s="4" t="s">
        <v>38</v>
      </c>
    </row>
    <row r="15" spans="1:8" x14ac:dyDescent="0.2">
      <c r="F15" s="4"/>
    </row>
    <row r="16" spans="1:8" x14ac:dyDescent="0.2">
      <c r="A16" s="1" t="s">
        <v>273</v>
      </c>
      <c r="F16" s="4"/>
    </row>
    <row r="17" spans="1:6" x14ac:dyDescent="0.2">
      <c r="A17" t="s">
        <v>148</v>
      </c>
      <c r="B17" t="s">
        <v>2</v>
      </c>
      <c r="C17" t="s">
        <v>2</v>
      </c>
      <c r="D17" t="s">
        <v>2</v>
      </c>
      <c r="E17" t="s">
        <v>31</v>
      </c>
      <c r="F17" s="4" t="s">
        <v>38</v>
      </c>
    </row>
    <row r="18" spans="1:6" x14ac:dyDescent="0.2">
      <c r="A18" t="s">
        <v>149</v>
      </c>
      <c r="B18" t="s">
        <v>1</v>
      </c>
      <c r="C18" t="s">
        <v>1</v>
      </c>
      <c r="D18" t="s">
        <v>2</v>
      </c>
      <c r="E18" t="s">
        <v>40</v>
      </c>
      <c r="F18" s="4" t="s">
        <v>38</v>
      </c>
    </row>
    <row r="19" spans="1:6" x14ac:dyDescent="0.2">
      <c r="A19" t="s">
        <v>150</v>
      </c>
      <c r="B19" t="s">
        <v>1</v>
      </c>
      <c r="C19" t="s">
        <v>1</v>
      </c>
      <c r="D19" t="s">
        <v>2</v>
      </c>
      <c r="E19" t="s">
        <v>41</v>
      </c>
      <c r="F19" s="4" t="s">
        <v>38</v>
      </c>
    </row>
    <row r="20" spans="1:6" x14ac:dyDescent="0.2">
      <c r="F20" s="4"/>
    </row>
    <row r="21" spans="1:6" x14ac:dyDescent="0.2">
      <c r="A21" s="1" t="s">
        <v>353</v>
      </c>
      <c r="B21" s="1"/>
      <c r="C21" s="1"/>
      <c r="F21" s="4"/>
    </row>
    <row r="22" spans="1:6" x14ac:dyDescent="0.2">
      <c r="A22" t="s">
        <v>338</v>
      </c>
      <c r="B22" t="s">
        <v>1</v>
      </c>
      <c r="C22" t="s">
        <v>2</v>
      </c>
      <c r="D22" t="s">
        <v>1</v>
      </c>
      <c r="E22" t="s">
        <v>31</v>
      </c>
      <c r="F22" s="4" t="s">
        <v>43</v>
      </c>
    </row>
    <row r="23" spans="1:6" x14ac:dyDescent="0.2">
      <c r="F23" s="4"/>
    </row>
    <row r="24" spans="1:6" x14ac:dyDescent="0.2">
      <c r="A24" t="s">
        <v>151</v>
      </c>
      <c r="F24" s="4"/>
    </row>
    <row r="25" spans="1:6" x14ac:dyDescent="0.2">
      <c r="A25" t="s">
        <v>152</v>
      </c>
      <c r="B25" t="s">
        <v>1</v>
      </c>
      <c r="C25" t="s">
        <v>1</v>
      </c>
      <c r="D25" t="s">
        <v>2</v>
      </c>
      <c r="E25" t="s">
        <v>122</v>
      </c>
      <c r="F25" s="4" t="s">
        <v>120</v>
      </c>
    </row>
    <row r="26" spans="1:6" x14ac:dyDescent="0.2">
      <c r="B26" s="1"/>
      <c r="C26" s="1"/>
      <c r="F26" s="4"/>
    </row>
    <row r="27" spans="1:6" x14ac:dyDescent="0.2">
      <c r="A27" s="1" t="s">
        <v>507</v>
      </c>
      <c r="B27" s="1"/>
      <c r="C27" s="1"/>
      <c r="F27" s="4"/>
    </row>
    <row r="28" spans="1:6" x14ac:dyDescent="0.2">
      <c r="A28" t="s">
        <v>471</v>
      </c>
      <c r="B28" t="s">
        <v>1</v>
      </c>
      <c r="C28" t="s">
        <v>1</v>
      </c>
      <c r="D28" t="s">
        <v>2</v>
      </c>
      <c r="E28" t="s">
        <v>45</v>
      </c>
      <c r="F28" s="4" t="s">
        <v>46</v>
      </c>
    </row>
    <row r="29" spans="1:6" x14ac:dyDescent="0.2">
      <c r="F29" s="4"/>
    </row>
    <row r="30" spans="1:6" x14ac:dyDescent="0.2">
      <c r="A30" s="1" t="s">
        <v>153</v>
      </c>
      <c r="F30" s="4"/>
    </row>
    <row r="31" spans="1:6" x14ac:dyDescent="0.2">
      <c r="A31" t="s">
        <v>154</v>
      </c>
      <c r="B31" t="s">
        <v>1</v>
      </c>
      <c r="C31" t="s">
        <v>1</v>
      </c>
      <c r="D31" t="s">
        <v>2</v>
      </c>
      <c r="E31" t="s">
        <v>45</v>
      </c>
      <c r="F31" s="4" t="s">
        <v>120</v>
      </c>
    </row>
    <row r="32" spans="1:6" x14ac:dyDescent="0.2">
      <c r="B32" s="1"/>
      <c r="C32" s="1"/>
      <c r="F32" s="4"/>
    </row>
    <row r="33" spans="1:9" x14ac:dyDescent="0.2">
      <c r="A33" s="1" t="s">
        <v>508</v>
      </c>
      <c r="B33" s="1"/>
      <c r="C33" s="1"/>
      <c r="F33" s="4"/>
    </row>
    <row r="34" spans="1:9" x14ac:dyDescent="0.2">
      <c r="A34" t="s">
        <v>472</v>
      </c>
      <c r="B34" t="s">
        <v>1</v>
      </c>
      <c r="C34" t="s">
        <v>2</v>
      </c>
      <c r="D34" t="s">
        <v>1</v>
      </c>
      <c r="E34" t="s">
        <v>31</v>
      </c>
      <c r="F34" s="4" t="s">
        <v>43</v>
      </c>
    </row>
    <row r="35" spans="1:9" x14ac:dyDescent="0.2">
      <c r="F35" s="4"/>
    </row>
    <row r="36" spans="1:9" x14ac:dyDescent="0.2">
      <c r="A36" s="1" t="s">
        <v>577</v>
      </c>
      <c r="B36" s="1"/>
      <c r="C36" s="1"/>
      <c r="D36" s="1"/>
      <c r="E36" s="1"/>
      <c r="F36" s="1"/>
      <c r="G36" s="1"/>
      <c r="H36" s="1"/>
      <c r="I36" s="1"/>
    </row>
    <row r="37" spans="1:9" x14ac:dyDescent="0.2">
      <c r="A37" t="s">
        <v>578</v>
      </c>
      <c r="B37" t="s">
        <v>1</v>
      </c>
      <c r="C37" t="s">
        <v>2</v>
      </c>
      <c r="D37" t="s">
        <v>2</v>
      </c>
      <c r="E37" t="s">
        <v>31</v>
      </c>
      <c r="F37" s="4" t="s">
        <v>558</v>
      </c>
      <c r="G37" s="1"/>
    </row>
    <row r="38" spans="1:9" x14ac:dyDescent="0.2">
      <c r="F38" s="4"/>
      <c r="G38" s="1"/>
    </row>
    <row r="39" spans="1:9" x14ac:dyDescent="0.2">
      <c r="A39" s="1" t="s">
        <v>583</v>
      </c>
      <c r="F39" s="4"/>
    </row>
    <row r="40" spans="1:9" x14ac:dyDescent="0.2">
      <c r="A40" t="s">
        <v>580</v>
      </c>
      <c r="B40" t="s">
        <v>1</v>
      </c>
      <c r="C40" t="s">
        <v>2</v>
      </c>
      <c r="D40" t="s">
        <v>2</v>
      </c>
      <c r="E40" t="s">
        <v>31</v>
      </c>
      <c r="F40" s="4" t="s">
        <v>558</v>
      </c>
    </row>
    <row r="41" spans="1:9" x14ac:dyDescent="0.2">
      <c r="F41" s="4"/>
    </row>
    <row r="42" spans="1:9" x14ac:dyDescent="0.2">
      <c r="A42" s="1" t="s">
        <v>509</v>
      </c>
      <c r="F42" s="4"/>
    </row>
    <row r="43" spans="1:9" x14ac:dyDescent="0.2">
      <c r="A43" t="s">
        <v>473</v>
      </c>
      <c r="B43" t="s">
        <v>1</v>
      </c>
      <c r="C43" t="s">
        <v>2</v>
      </c>
      <c r="D43" t="s">
        <v>1</v>
      </c>
      <c r="E43" t="s">
        <v>31</v>
      </c>
      <c r="F43" s="4" t="s">
        <v>47</v>
      </c>
    </row>
    <row r="44" spans="1:9" x14ac:dyDescent="0.2">
      <c r="A44" t="s">
        <v>474</v>
      </c>
      <c r="B44" t="s">
        <v>1</v>
      </c>
      <c r="C44" t="s">
        <v>1</v>
      </c>
      <c r="D44" t="s">
        <v>2</v>
      </c>
      <c r="E44" t="s">
        <v>50</v>
      </c>
      <c r="F44" s="4" t="s">
        <v>51</v>
      </c>
    </row>
    <row r="45" spans="1:9" x14ac:dyDescent="0.2">
      <c r="B45" s="1"/>
      <c r="C45" s="1"/>
      <c r="F45" s="4"/>
    </row>
    <row r="46" spans="1:9" x14ac:dyDescent="0.2">
      <c r="A46" s="1" t="s">
        <v>274</v>
      </c>
      <c r="F46" s="4"/>
    </row>
    <row r="47" spans="1:9" x14ac:dyDescent="0.2">
      <c r="A47" t="s">
        <v>155</v>
      </c>
      <c r="B47" t="s">
        <v>2</v>
      </c>
      <c r="C47" t="s">
        <v>2</v>
      </c>
      <c r="D47" t="s">
        <v>1</v>
      </c>
      <c r="E47" t="s">
        <v>31</v>
      </c>
      <c r="F47" s="4" t="s">
        <v>42</v>
      </c>
    </row>
    <row r="48" spans="1:9" x14ac:dyDescent="0.2">
      <c r="A48" t="s">
        <v>156</v>
      </c>
      <c r="B48" t="s">
        <v>1</v>
      </c>
      <c r="C48" t="s">
        <v>2</v>
      </c>
      <c r="D48" t="s">
        <v>1</v>
      </c>
      <c r="E48" t="s">
        <v>31</v>
      </c>
      <c r="F48" s="4" t="s">
        <v>55</v>
      </c>
    </row>
    <row r="49" spans="1:9" x14ac:dyDescent="0.2">
      <c r="A49" t="s">
        <v>157</v>
      </c>
      <c r="B49" t="s">
        <v>1</v>
      </c>
      <c r="C49" t="s">
        <v>1</v>
      </c>
      <c r="D49" t="s">
        <v>2</v>
      </c>
      <c r="E49" t="s">
        <v>32</v>
      </c>
      <c r="F49" s="4" t="s">
        <v>59</v>
      </c>
    </row>
    <row r="50" spans="1:9" x14ac:dyDescent="0.2">
      <c r="A50" t="s">
        <v>158</v>
      </c>
      <c r="B50" t="s">
        <v>1</v>
      </c>
      <c r="C50" t="s">
        <v>2</v>
      </c>
      <c r="D50" t="s">
        <v>1</v>
      </c>
      <c r="E50" t="s">
        <v>31</v>
      </c>
      <c r="F50" s="4" t="s">
        <v>55</v>
      </c>
    </row>
    <row r="51" spans="1:9" x14ac:dyDescent="0.2">
      <c r="A51" t="s">
        <v>159</v>
      </c>
      <c r="B51" t="s">
        <v>1</v>
      </c>
      <c r="C51" t="s">
        <v>1</v>
      </c>
      <c r="D51" t="s">
        <v>2</v>
      </c>
      <c r="E51" t="s">
        <v>29</v>
      </c>
      <c r="F51" s="4" t="s">
        <v>58</v>
      </c>
    </row>
    <row r="52" spans="1:9" x14ac:dyDescent="0.2">
      <c r="F52" s="4"/>
    </row>
    <row r="53" spans="1:9" x14ac:dyDescent="0.2">
      <c r="A53" s="1" t="s">
        <v>275</v>
      </c>
      <c r="F53" s="4"/>
    </row>
    <row r="54" spans="1:9" s="1" customFormat="1" x14ac:dyDescent="0.2">
      <c r="A54" t="s">
        <v>160</v>
      </c>
      <c r="B54" t="s">
        <v>1</v>
      </c>
      <c r="C54" t="s">
        <v>1</v>
      </c>
      <c r="D54" t="s">
        <v>2</v>
      </c>
      <c r="E54" t="s">
        <v>29</v>
      </c>
      <c r="F54" s="4" t="s">
        <v>131</v>
      </c>
      <c r="G54"/>
      <c r="H54"/>
      <c r="I54"/>
    </row>
    <row r="55" spans="1:9" s="1" customFormat="1" x14ac:dyDescent="0.2">
      <c r="A55"/>
      <c r="B55"/>
      <c r="C55"/>
      <c r="D55"/>
      <c r="E55"/>
      <c r="F55" s="4"/>
      <c r="G55"/>
      <c r="H55"/>
      <c r="I55"/>
    </row>
    <row r="56" spans="1:9" x14ac:dyDescent="0.2">
      <c r="A56" s="1" t="s">
        <v>400</v>
      </c>
      <c r="F56" s="4"/>
      <c r="G56" s="1"/>
      <c r="H56" s="1"/>
      <c r="I56" s="1"/>
    </row>
    <row r="57" spans="1:9" x14ac:dyDescent="0.2">
      <c r="A57" t="s">
        <v>363</v>
      </c>
      <c r="B57" t="s">
        <v>1</v>
      </c>
      <c r="C57" t="s">
        <v>2</v>
      </c>
      <c r="D57" t="s">
        <v>2</v>
      </c>
      <c r="E57" s="4" t="s">
        <v>60</v>
      </c>
      <c r="F57" s="4" t="s">
        <v>61</v>
      </c>
      <c r="G57" s="1"/>
      <c r="H57" s="1"/>
      <c r="I57" s="1"/>
    </row>
    <row r="58" spans="1:9" x14ac:dyDescent="0.2">
      <c r="A58" t="s">
        <v>364</v>
      </c>
      <c r="B58" t="s">
        <v>1</v>
      </c>
      <c r="C58" t="s">
        <v>1</v>
      </c>
      <c r="D58" t="s">
        <v>2</v>
      </c>
      <c r="E58" t="s">
        <v>29</v>
      </c>
      <c r="F58" s="4" t="s">
        <v>62</v>
      </c>
    </row>
    <row r="59" spans="1:9" x14ac:dyDescent="0.2">
      <c r="A59" t="s">
        <v>365</v>
      </c>
      <c r="B59" t="s">
        <v>2</v>
      </c>
      <c r="C59" t="s">
        <v>2</v>
      </c>
      <c r="D59" t="s">
        <v>2</v>
      </c>
      <c r="E59" t="s">
        <v>135</v>
      </c>
      <c r="F59" s="4" t="s">
        <v>138</v>
      </c>
    </row>
    <row r="60" spans="1:9" x14ac:dyDescent="0.2">
      <c r="F60" s="4"/>
    </row>
    <row r="61" spans="1:9" x14ac:dyDescent="0.2">
      <c r="A61" s="1" t="s">
        <v>276</v>
      </c>
      <c r="F61" s="4"/>
    </row>
    <row r="62" spans="1:9" x14ac:dyDescent="0.2">
      <c r="A62" t="s">
        <v>161</v>
      </c>
      <c r="B62" t="s">
        <v>1</v>
      </c>
      <c r="C62" t="s">
        <v>2</v>
      </c>
      <c r="D62" t="s">
        <v>1</v>
      </c>
      <c r="E62" t="s">
        <v>31</v>
      </c>
      <c r="F62" s="4" t="s">
        <v>63</v>
      </c>
    </row>
    <row r="63" spans="1:9" x14ac:dyDescent="0.2">
      <c r="F63" s="4"/>
    </row>
    <row r="64" spans="1:9" x14ac:dyDescent="0.2">
      <c r="A64" s="1" t="s">
        <v>620</v>
      </c>
      <c r="B64" s="1"/>
      <c r="C64" s="1"/>
      <c r="D64" s="1"/>
      <c r="E64" s="1"/>
      <c r="F64" s="1"/>
    </row>
    <row r="65" spans="1:9" x14ac:dyDescent="0.2">
      <c r="A65" t="s">
        <v>621</v>
      </c>
      <c r="B65" t="s">
        <v>2</v>
      </c>
      <c r="C65" t="s">
        <v>2</v>
      </c>
      <c r="D65" t="s">
        <v>2</v>
      </c>
      <c r="E65" t="s">
        <v>31</v>
      </c>
      <c r="F65" s="4" t="s">
        <v>616</v>
      </c>
    </row>
    <row r="66" spans="1:9" x14ac:dyDescent="0.2">
      <c r="F66" s="4"/>
    </row>
    <row r="67" spans="1:9" x14ac:dyDescent="0.2">
      <c r="A67" s="1" t="s">
        <v>510</v>
      </c>
      <c r="B67" s="1"/>
      <c r="C67" s="1"/>
      <c r="D67" s="1"/>
      <c r="F67" s="4"/>
    </row>
    <row r="68" spans="1:9" x14ac:dyDescent="0.2">
      <c r="A68" t="s">
        <v>475</v>
      </c>
      <c r="B68" t="s">
        <v>1</v>
      </c>
      <c r="C68" t="s">
        <v>2</v>
      </c>
      <c r="D68" t="s">
        <v>1</v>
      </c>
      <c r="E68" t="s">
        <v>31</v>
      </c>
      <c r="F68" s="4" t="s">
        <v>43</v>
      </c>
    </row>
    <row r="69" spans="1:9" x14ac:dyDescent="0.2">
      <c r="F69" s="4"/>
    </row>
    <row r="70" spans="1:9" s="1" customFormat="1" x14ac:dyDescent="0.2">
      <c r="A70" s="7" t="s">
        <v>162</v>
      </c>
      <c r="B70"/>
      <c r="C70"/>
      <c r="D70"/>
      <c r="E70"/>
      <c r="F70" s="4"/>
      <c r="G70"/>
      <c r="H70"/>
      <c r="I70"/>
    </row>
    <row r="71" spans="1:9" x14ac:dyDescent="0.2">
      <c r="A71" s="2" t="s">
        <v>163</v>
      </c>
      <c r="B71" t="s">
        <v>1</v>
      </c>
      <c r="C71" t="s">
        <v>1</v>
      </c>
      <c r="D71" t="s">
        <v>2</v>
      </c>
      <c r="E71" t="s">
        <v>45</v>
      </c>
      <c r="F71" s="4" t="s">
        <v>120</v>
      </c>
    </row>
    <row r="72" spans="1:9" x14ac:dyDescent="0.2">
      <c r="F72" s="4"/>
      <c r="G72" s="1"/>
      <c r="H72" s="1"/>
      <c r="I72" s="1"/>
    </row>
    <row r="73" spans="1:9" x14ac:dyDescent="0.2">
      <c r="A73" s="1" t="s">
        <v>277</v>
      </c>
      <c r="F73" s="4"/>
    </row>
    <row r="74" spans="1:9" x14ac:dyDescent="0.2">
      <c r="A74" t="s">
        <v>164</v>
      </c>
      <c r="B74" t="s">
        <v>1</v>
      </c>
      <c r="C74" t="s">
        <v>1</v>
      </c>
      <c r="D74" t="s">
        <v>2</v>
      </c>
      <c r="E74" t="s">
        <v>29</v>
      </c>
      <c r="F74" s="4" t="s">
        <v>64</v>
      </c>
    </row>
    <row r="75" spans="1:9" x14ac:dyDescent="0.2">
      <c r="A75" t="s">
        <v>165</v>
      </c>
      <c r="B75" t="s">
        <v>1</v>
      </c>
      <c r="C75" t="s">
        <v>1</v>
      </c>
      <c r="D75" t="s">
        <v>2</v>
      </c>
      <c r="E75" t="s">
        <v>29</v>
      </c>
      <c r="F75" s="4" t="s">
        <v>64</v>
      </c>
    </row>
    <row r="76" spans="1:9" x14ac:dyDescent="0.2">
      <c r="E76" s="1"/>
      <c r="F76" s="10"/>
    </row>
    <row r="77" spans="1:9" x14ac:dyDescent="0.2">
      <c r="A77" s="1" t="s">
        <v>278</v>
      </c>
      <c r="F77" s="4"/>
    </row>
    <row r="78" spans="1:9" x14ac:dyDescent="0.2">
      <c r="A78" t="s">
        <v>166</v>
      </c>
      <c r="B78" t="s">
        <v>1</v>
      </c>
      <c r="C78" t="s">
        <v>1</v>
      </c>
      <c r="D78" t="s">
        <v>2</v>
      </c>
      <c r="E78" t="s">
        <v>29</v>
      </c>
      <c r="F78" s="4" t="s">
        <v>64</v>
      </c>
    </row>
    <row r="79" spans="1:9" x14ac:dyDescent="0.2">
      <c r="A79" t="s">
        <v>167</v>
      </c>
      <c r="B79" t="s">
        <v>1</v>
      </c>
      <c r="C79" t="s">
        <v>1</v>
      </c>
      <c r="D79" t="s">
        <v>2</v>
      </c>
      <c r="E79" t="s">
        <v>29</v>
      </c>
      <c r="F79" s="4" t="s">
        <v>64</v>
      </c>
    </row>
    <row r="80" spans="1:9" x14ac:dyDescent="0.2">
      <c r="F80" s="4"/>
    </row>
    <row r="81" spans="1:6" x14ac:dyDescent="0.2">
      <c r="A81" s="1" t="s">
        <v>447</v>
      </c>
      <c r="B81" s="1"/>
      <c r="C81" s="1"/>
      <c r="D81" s="1"/>
      <c r="F81" s="4"/>
    </row>
    <row r="82" spans="1:6" x14ac:dyDescent="0.2">
      <c r="A82" t="s">
        <v>430</v>
      </c>
      <c r="B82" t="s">
        <v>2</v>
      </c>
      <c r="C82" t="s">
        <v>2</v>
      </c>
      <c r="D82" t="s">
        <v>1</v>
      </c>
      <c r="E82" t="s">
        <v>31</v>
      </c>
      <c r="F82" s="4" t="s">
        <v>65</v>
      </c>
    </row>
    <row r="83" spans="1:6" x14ac:dyDescent="0.2">
      <c r="F83" s="4"/>
    </row>
    <row r="84" spans="1:6" x14ac:dyDescent="0.2">
      <c r="A84" s="1" t="s">
        <v>333</v>
      </c>
      <c r="F84" s="4"/>
    </row>
    <row r="85" spans="1:6" x14ac:dyDescent="0.2">
      <c r="A85" t="s">
        <v>576</v>
      </c>
      <c r="B85" t="s">
        <v>1</v>
      </c>
      <c r="C85" t="s">
        <v>2</v>
      </c>
      <c r="D85" t="s">
        <v>2</v>
      </c>
      <c r="E85" t="s">
        <v>31</v>
      </c>
      <c r="F85" s="4" t="s">
        <v>558</v>
      </c>
    </row>
    <row r="86" spans="1:6" x14ac:dyDescent="0.2">
      <c r="A86" t="s">
        <v>324</v>
      </c>
      <c r="B86" t="s">
        <v>1</v>
      </c>
      <c r="C86" t="s">
        <v>1</v>
      </c>
      <c r="D86" t="s">
        <v>1</v>
      </c>
      <c r="E86" t="s">
        <v>84</v>
      </c>
      <c r="F86" s="4" t="s">
        <v>68</v>
      </c>
    </row>
    <row r="87" spans="1:6" x14ac:dyDescent="0.2">
      <c r="F87" s="4"/>
    </row>
    <row r="88" spans="1:6" x14ac:dyDescent="0.2">
      <c r="A88" s="1" t="s">
        <v>466</v>
      </c>
      <c r="F88" s="4"/>
    </row>
    <row r="89" spans="1:6" x14ac:dyDescent="0.2">
      <c r="A89" t="s">
        <v>467</v>
      </c>
      <c r="B89" t="s">
        <v>1</v>
      </c>
      <c r="C89" t="s">
        <v>2</v>
      </c>
      <c r="D89" t="s">
        <v>1</v>
      </c>
      <c r="E89" t="s">
        <v>31</v>
      </c>
      <c r="F89" s="4" t="s">
        <v>70</v>
      </c>
    </row>
    <row r="90" spans="1:6" x14ac:dyDescent="0.2">
      <c r="A90" t="s">
        <v>468</v>
      </c>
      <c r="B90" t="s">
        <v>1</v>
      </c>
      <c r="C90" t="s">
        <v>2</v>
      </c>
      <c r="D90" t="s">
        <v>1</v>
      </c>
      <c r="E90" t="s">
        <v>31</v>
      </c>
      <c r="F90" s="4" t="s">
        <v>71</v>
      </c>
    </row>
    <row r="91" spans="1:6" x14ac:dyDescent="0.2">
      <c r="F91" s="4"/>
    </row>
    <row r="92" spans="1:6" x14ac:dyDescent="0.2">
      <c r="A92" s="1" t="s">
        <v>559</v>
      </c>
      <c r="B92" s="1"/>
      <c r="C92" s="1"/>
      <c r="D92" s="1"/>
      <c r="E92" s="1"/>
      <c r="F92" s="10"/>
    </row>
    <row r="93" spans="1:6" x14ac:dyDescent="0.2">
      <c r="A93" t="s">
        <v>560</v>
      </c>
      <c r="B93" t="s">
        <v>1</v>
      </c>
      <c r="C93" t="s">
        <v>2</v>
      </c>
      <c r="D93" t="s">
        <v>2</v>
      </c>
      <c r="E93" t="s">
        <v>31</v>
      </c>
      <c r="F93" s="4" t="s">
        <v>558</v>
      </c>
    </row>
    <row r="94" spans="1:6" x14ac:dyDescent="0.2">
      <c r="F94" s="4"/>
    </row>
    <row r="95" spans="1:6" x14ac:dyDescent="0.2">
      <c r="A95" s="1" t="s">
        <v>511</v>
      </c>
      <c r="F95" s="4"/>
    </row>
    <row r="96" spans="1:6" x14ac:dyDescent="0.2">
      <c r="A96" t="s">
        <v>476</v>
      </c>
      <c r="B96" t="s">
        <v>1</v>
      </c>
      <c r="C96" t="s">
        <v>1</v>
      </c>
      <c r="D96" t="s">
        <v>2</v>
      </c>
      <c r="E96" t="s">
        <v>73</v>
      </c>
      <c r="F96" s="4" t="s">
        <v>46</v>
      </c>
    </row>
    <row r="97" spans="1:6" x14ac:dyDescent="0.2">
      <c r="F97" s="4"/>
    </row>
    <row r="98" spans="1:6" x14ac:dyDescent="0.2">
      <c r="A98" s="1" t="s">
        <v>512</v>
      </c>
      <c r="F98" s="4"/>
    </row>
    <row r="99" spans="1:6" x14ac:dyDescent="0.2">
      <c r="A99" t="s">
        <v>477</v>
      </c>
      <c r="B99" t="s">
        <v>1</v>
      </c>
      <c r="C99" t="s">
        <v>2</v>
      </c>
      <c r="D99" t="s">
        <v>1</v>
      </c>
      <c r="E99" t="s">
        <v>31</v>
      </c>
      <c r="F99" s="4" t="s">
        <v>43</v>
      </c>
    </row>
    <row r="100" spans="1:6" x14ac:dyDescent="0.2">
      <c r="A100" t="s">
        <v>478</v>
      </c>
      <c r="B100" t="s">
        <v>1</v>
      </c>
      <c r="C100" t="s">
        <v>1</v>
      </c>
      <c r="D100" t="s">
        <v>2</v>
      </c>
      <c r="E100" t="s">
        <v>73</v>
      </c>
      <c r="F100" s="4" t="s">
        <v>46</v>
      </c>
    </row>
    <row r="101" spans="1:6" x14ac:dyDescent="0.2">
      <c r="A101" t="s">
        <v>479</v>
      </c>
      <c r="B101" t="s">
        <v>1</v>
      </c>
      <c r="C101" t="s">
        <v>1</v>
      </c>
      <c r="D101" t="s">
        <v>2</v>
      </c>
      <c r="E101" t="s">
        <v>29</v>
      </c>
      <c r="F101" s="4" t="s">
        <v>46</v>
      </c>
    </row>
    <row r="102" spans="1:6" x14ac:dyDescent="0.2">
      <c r="A102" t="s">
        <v>480</v>
      </c>
      <c r="B102" t="s">
        <v>1</v>
      </c>
      <c r="C102" t="s">
        <v>2</v>
      </c>
      <c r="D102" t="s">
        <v>1</v>
      </c>
      <c r="E102" t="s">
        <v>31</v>
      </c>
      <c r="F102" s="4" t="s">
        <v>48</v>
      </c>
    </row>
    <row r="103" spans="1:6" x14ac:dyDescent="0.2">
      <c r="F103" s="4"/>
    </row>
    <row r="104" spans="1:6" x14ac:dyDescent="0.2">
      <c r="A104" s="1" t="s">
        <v>168</v>
      </c>
      <c r="F104" s="4"/>
    </row>
    <row r="105" spans="1:6" x14ac:dyDescent="0.2">
      <c r="A105" t="s">
        <v>169</v>
      </c>
      <c r="B105" t="s">
        <v>1</v>
      </c>
      <c r="C105" t="s">
        <v>1</v>
      </c>
      <c r="D105" t="s">
        <v>2</v>
      </c>
      <c r="E105" t="s">
        <v>29</v>
      </c>
      <c r="F105" s="4" t="s">
        <v>74</v>
      </c>
    </row>
    <row r="106" spans="1:6" x14ac:dyDescent="0.2">
      <c r="F106" s="4"/>
    </row>
    <row r="107" spans="1:6" x14ac:dyDescent="0.2">
      <c r="A107" s="1" t="s">
        <v>561</v>
      </c>
      <c r="F107" s="4"/>
    </row>
    <row r="108" spans="1:6" x14ac:dyDescent="0.2">
      <c r="A108" t="s">
        <v>562</v>
      </c>
      <c r="B108" t="s">
        <v>1</v>
      </c>
      <c r="C108" t="s">
        <v>2</v>
      </c>
      <c r="D108" t="s">
        <v>2</v>
      </c>
      <c r="E108" t="s">
        <v>31</v>
      </c>
      <c r="F108" s="4" t="s">
        <v>558</v>
      </c>
    </row>
    <row r="109" spans="1:6" x14ac:dyDescent="0.2">
      <c r="A109" t="s">
        <v>565</v>
      </c>
      <c r="B109" t="s">
        <v>2</v>
      </c>
      <c r="C109" t="s">
        <v>2</v>
      </c>
      <c r="D109" t="s">
        <v>2</v>
      </c>
      <c r="E109" t="s">
        <v>31</v>
      </c>
      <c r="F109" s="4" t="s">
        <v>558</v>
      </c>
    </row>
    <row r="110" spans="1:6" x14ac:dyDescent="0.2">
      <c r="F110" s="4"/>
    </row>
    <row r="111" spans="1:6" x14ac:dyDescent="0.2">
      <c r="A111" s="1" t="s">
        <v>339</v>
      </c>
      <c r="F111" s="4"/>
    </row>
    <row r="112" spans="1:6" x14ac:dyDescent="0.2">
      <c r="A112" t="s">
        <v>664</v>
      </c>
      <c r="B112" t="s">
        <v>1</v>
      </c>
      <c r="C112" t="s">
        <v>1</v>
      </c>
      <c r="D112" t="s">
        <v>2</v>
      </c>
      <c r="E112" t="s">
        <v>39</v>
      </c>
      <c r="F112" s="4" t="s">
        <v>665</v>
      </c>
    </row>
    <row r="113" spans="1:6" x14ac:dyDescent="0.2">
      <c r="A113" t="s">
        <v>596</v>
      </c>
      <c r="B113" t="s">
        <v>1</v>
      </c>
      <c r="C113" t="s">
        <v>2</v>
      </c>
      <c r="D113" t="s">
        <v>2</v>
      </c>
      <c r="E113" t="s">
        <v>31</v>
      </c>
      <c r="F113" s="4" t="s">
        <v>558</v>
      </c>
    </row>
    <row r="114" spans="1:6" x14ac:dyDescent="0.2">
      <c r="A114" t="s">
        <v>340</v>
      </c>
      <c r="B114" t="s">
        <v>1</v>
      </c>
      <c r="C114" t="s">
        <v>1</v>
      </c>
      <c r="D114" t="s">
        <v>2</v>
      </c>
      <c r="E114" t="s">
        <v>116</v>
      </c>
      <c r="F114" s="4" t="s">
        <v>117</v>
      </c>
    </row>
    <row r="115" spans="1:6" x14ac:dyDescent="0.2">
      <c r="F115" s="4"/>
    </row>
    <row r="116" spans="1:6" x14ac:dyDescent="0.2">
      <c r="A116" s="1" t="s">
        <v>170</v>
      </c>
      <c r="F116" s="4"/>
    </row>
    <row r="117" spans="1:6" x14ac:dyDescent="0.2">
      <c r="A117" t="s">
        <v>171</v>
      </c>
      <c r="B117" t="s">
        <v>1</v>
      </c>
      <c r="C117" t="s">
        <v>1</v>
      </c>
      <c r="D117" t="s">
        <v>2</v>
      </c>
      <c r="E117" t="s">
        <v>29</v>
      </c>
      <c r="F117" s="4" t="s">
        <v>64</v>
      </c>
    </row>
    <row r="118" spans="1:6" x14ac:dyDescent="0.2">
      <c r="F118" s="4"/>
    </row>
    <row r="119" spans="1:6" x14ac:dyDescent="0.2">
      <c r="A119" s="1" t="s">
        <v>325</v>
      </c>
      <c r="F119" s="4"/>
    </row>
    <row r="120" spans="1:6" x14ac:dyDescent="0.2">
      <c r="A120" t="s">
        <v>326</v>
      </c>
      <c r="B120" t="s">
        <v>1</v>
      </c>
      <c r="C120" t="s">
        <v>1</v>
      </c>
      <c r="D120" t="s">
        <v>2</v>
      </c>
      <c r="E120" t="s">
        <v>39</v>
      </c>
      <c r="F120" s="4" t="s">
        <v>76</v>
      </c>
    </row>
    <row r="121" spans="1:6" x14ac:dyDescent="0.2">
      <c r="F121" s="4"/>
    </row>
    <row r="122" spans="1:6" x14ac:dyDescent="0.2">
      <c r="A122" s="1" t="s">
        <v>327</v>
      </c>
      <c r="F122" s="4"/>
    </row>
    <row r="123" spans="1:6" x14ac:dyDescent="0.2">
      <c r="A123" t="s">
        <v>328</v>
      </c>
      <c r="B123" t="s">
        <v>1</v>
      </c>
      <c r="C123" t="s">
        <v>2</v>
      </c>
      <c r="D123" t="s">
        <v>1</v>
      </c>
      <c r="E123" t="s">
        <v>31</v>
      </c>
      <c r="F123" s="4" t="s">
        <v>77</v>
      </c>
    </row>
    <row r="124" spans="1:6" x14ac:dyDescent="0.2">
      <c r="F124" s="4"/>
    </row>
    <row r="125" spans="1:6" x14ac:dyDescent="0.2">
      <c r="A125" s="1" t="s">
        <v>401</v>
      </c>
      <c r="F125" s="4"/>
    </row>
    <row r="126" spans="1:6" x14ac:dyDescent="0.2">
      <c r="A126" t="s">
        <v>366</v>
      </c>
      <c r="B126" t="s">
        <v>2</v>
      </c>
      <c r="C126" t="s">
        <v>2</v>
      </c>
      <c r="D126" t="s">
        <v>2</v>
      </c>
      <c r="E126" t="s">
        <v>31</v>
      </c>
      <c r="F126" s="4" t="s">
        <v>78</v>
      </c>
    </row>
    <row r="127" spans="1:6" x14ac:dyDescent="0.2">
      <c r="F127" s="4"/>
    </row>
    <row r="128" spans="1:6" x14ac:dyDescent="0.2">
      <c r="A128" s="1" t="s">
        <v>640</v>
      </c>
      <c r="F128" s="4"/>
    </row>
    <row r="129" spans="1:6" x14ac:dyDescent="0.2">
      <c r="A129" t="s">
        <v>641</v>
      </c>
      <c r="B129" t="s">
        <v>2</v>
      </c>
      <c r="C129" t="s">
        <v>2</v>
      </c>
      <c r="D129" t="s">
        <v>2</v>
      </c>
      <c r="E129" t="s">
        <v>31</v>
      </c>
      <c r="F129" s="4" t="s">
        <v>558</v>
      </c>
    </row>
    <row r="130" spans="1:6" x14ac:dyDescent="0.2">
      <c r="F130" s="4"/>
    </row>
    <row r="131" spans="1:6" x14ac:dyDescent="0.2">
      <c r="A131" s="1" t="s">
        <v>279</v>
      </c>
      <c r="F131" s="4"/>
    </row>
    <row r="132" spans="1:6" x14ac:dyDescent="0.2">
      <c r="A132" t="s">
        <v>172</v>
      </c>
      <c r="B132" t="s">
        <v>1</v>
      </c>
      <c r="C132" t="s">
        <v>2</v>
      </c>
      <c r="D132" t="s">
        <v>1</v>
      </c>
      <c r="E132" t="s">
        <v>31</v>
      </c>
      <c r="F132" s="4" t="s">
        <v>48</v>
      </c>
    </row>
    <row r="133" spans="1:6" x14ac:dyDescent="0.2">
      <c r="F133" s="4"/>
    </row>
    <row r="134" spans="1:6" x14ac:dyDescent="0.2">
      <c r="A134" s="1" t="s">
        <v>630</v>
      </c>
      <c r="F134" s="4"/>
    </row>
    <row r="135" spans="1:6" x14ac:dyDescent="0.2">
      <c r="A135" t="s">
        <v>631</v>
      </c>
      <c r="B135" t="s">
        <v>2</v>
      </c>
      <c r="C135" t="s">
        <v>2</v>
      </c>
      <c r="D135" t="s">
        <v>2</v>
      </c>
      <c r="E135" t="s">
        <v>31</v>
      </c>
      <c r="F135" s="4" t="s">
        <v>616</v>
      </c>
    </row>
    <row r="136" spans="1:6" x14ac:dyDescent="0.2">
      <c r="F136" s="4"/>
    </row>
    <row r="137" spans="1:6" x14ac:dyDescent="0.2">
      <c r="A137" s="1" t="s">
        <v>513</v>
      </c>
      <c r="F137" s="4"/>
    </row>
    <row r="138" spans="1:6" x14ac:dyDescent="0.2">
      <c r="A138" t="s">
        <v>481</v>
      </c>
      <c r="B138" t="s">
        <v>1</v>
      </c>
      <c r="C138" t="s">
        <v>1</v>
      </c>
      <c r="D138" t="s">
        <v>2</v>
      </c>
      <c r="E138" t="s">
        <v>29</v>
      </c>
      <c r="F138" s="4" t="s">
        <v>46</v>
      </c>
    </row>
    <row r="139" spans="1:6" x14ac:dyDescent="0.2">
      <c r="A139" t="s">
        <v>482</v>
      </c>
      <c r="B139" t="s">
        <v>1</v>
      </c>
      <c r="C139" t="s">
        <v>1</v>
      </c>
      <c r="D139" t="s">
        <v>2</v>
      </c>
      <c r="E139" t="s">
        <v>39</v>
      </c>
      <c r="F139" s="5" t="s">
        <v>49</v>
      </c>
    </row>
    <row r="140" spans="1:6" x14ac:dyDescent="0.2">
      <c r="A140" t="s">
        <v>483</v>
      </c>
      <c r="B140" t="s">
        <v>1</v>
      </c>
      <c r="C140" t="s">
        <v>1</v>
      </c>
      <c r="D140" t="s">
        <v>2</v>
      </c>
      <c r="E140" t="s">
        <v>29</v>
      </c>
      <c r="F140" s="4" t="s">
        <v>46</v>
      </c>
    </row>
    <row r="141" spans="1:6" x14ac:dyDescent="0.2">
      <c r="F141" s="4"/>
    </row>
    <row r="142" spans="1:6" x14ac:dyDescent="0.2">
      <c r="A142" t="s">
        <v>566</v>
      </c>
      <c r="F142" s="4"/>
    </row>
    <row r="143" spans="1:6" x14ac:dyDescent="0.2">
      <c r="A143" t="s">
        <v>567</v>
      </c>
      <c r="B143" t="s">
        <v>2</v>
      </c>
      <c r="C143" t="s">
        <v>2</v>
      </c>
      <c r="D143" t="s">
        <v>2</v>
      </c>
      <c r="E143" t="s">
        <v>31</v>
      </c>
      <c r="F143" s="4" t="s">
        <v>558</v>
      </c>
    </row>
    <row r="144" spans="1:6" x14ac:dyDescent="0.2">
      <c r="A144" t="s">
        <v>568</v>
      </c>
      <c r="B144" t="s">
        <v>2</v>
      </c>
      <c r="C144" t="s">
        <v>2</v>
      </c>
      <c r="D144" t="s">
        <v>2</v>
      </c>
      <c r="E144" t="s">
        <v>31</v>
      </c>
      <c r="F144" s="4" t="s">
        <v>571</v>
      </c>
    </row>
    <row r="145" spans="1:6" x14ac:dyDescent="0.2">
      <c r="A145" t="s">
        <v>569</v>
      </c>
      <c r="B145" t="s">
        <v>2</v>
      </c>
      <c r="C145" t="s">
        <v>2</v>
      </c>
      <c r="D145" t="s">
        <v>2</v>
      </c>
      <c r="E145" t="s">
        <v>31</v>
      </c>
      <c r="F145" s="4" t="s">
        <v>572</v>
      </c>
    </row>
    <row r="146" spans="1:6" x14ac:dyDescent="0.2">
      <c r="A146" t="s">
        <v>570</v>
      </c>
      <c r="B146" t="s">
        <v>1</v>
      </c>
      <c r="C146" t="s">
        <v>2</v>
      </c>
      <c r="D146" t="s">
        <v>2</v>
      </c>
      <c r="E146" t="s">
        <v>31</v>
      </c>
      <c r="F146" s="4" t="s">
        <v>573</v>
      </c>
    </row>
    <row r="147" spans="1:6" x14ac:dyDescent="0.2">
      <c r="F147" s="4"/>
    </row>
    <row r="148" spans="1:6" x14ac:dyDescent="0.2">
      <c r="A148" t="s">
        <v>679</v>
      </c>
      <c r="F148" s="4"/>
    </row>
    <row r="149" spans="1:6" x14ac:dyDescent="0.2">
      <c r="A149" t="s">
        <v>680</v>
      </c>
      <c r="B149" t="s">
        <v>1</v>
      </c>
      <c r="C149" t="s">
        <v>2</v>
      </c>
      <c r="D149" t="s">
        <v>2</v>
      </c>
      <c r="E149" t="s">
        <v>31</v>
      </c>
      <c r="F149" s="4" t="s">
        <v>558</v>
      </c>
    </row>
    <row r="150" spans="1:6" x14ac:dyDescent="0.2">
      <c r="F150" s="4"/>
    </row>
    <row r="151" spans="1:6" x14ac:dyDescent="0.2">
      <c r="A151" s="1" t="s">
        <v>280</v>
      </c>
      <c r="F151" s="4"/>
    </row>
    <row r="152" spans="1:6" x14ac:dyDescent="0.2">
      <c r="A152" t="s">
        <v>173</v>
      </c>
      <c r="B152" t="s">
        <v>1</v>
      </c>
      <c r="C152" t="s">
        <v>2</v>
      </c>
      <c r="D152" t="s">
        <v>1</v>
      </c>
      <c r="E152" t="s">
        <v>31</v>
      </c>
      <c r="F152" s="4" t="s">
        <v>79</v>
      </c>
    </row>
    <row r="153" spans="1:6" x14ac:dyDescent="0.2">
      <c r="F153" s="4"/>
    </row>
    <row r="154" spans="1:6" x14ac:dyDescent="0.2">
      <c r="A154" s="1" t="s">
        <v>469</v>
      </c>
      <c r="F154" s="4"/>
    </row>
    <row r="155" spans="1:6" x14ac:dyDescent="0.2">
      <c r="A155" t="s">
        <v>470</v>
      </c>
      <c r="B155" t="s">
        <v>1</v>
      </c>
      <c r="C155" t="s">
        <v>2</v>
      </c>
      <c r="D155" t="s">
        <v>1</v>
      </c>
      <c r="E155" t="s">
        <v>31</v>
      </c>
      <c r="F155" s="4" t="s">
        <v>69</v>
      </c>
    </row>
    <row r="156" spans="1:6" x14ac:dyDescent="0.2">
      <c r="F156" s="4"/>
    </row>
    <row r="157" spans="1:6" x14ac:dyDescent="0.2">
      <c r="A157" s="1" t="s">
        <v>281</v>
      </c>
      <c r="F157" s="4"/>
    </row>
    <row r="158" spans="1:6" x14ac:dyDescent="0.2">
      <c r="A158" t="s">
        <v>174</v>
      </c>
      <c r="B158" t="s">
        <v>1</v>
      </c>
      <c r="C158" t="s">
        <v>2</v>
      </c>
      <c r="D158" t="s">
        <v>1</v>
      </c>
      <c r="E158" t="s">
        <v>31</v>
      </c>
      <c r="F158" s="4" t="s">
        <v>56</v>
      </c>
    </row>
    <row r="159" spans="1:6" x14ac:dyDescent="0.2">
      <c r="A159" t="s">
        <v>175</v>
      </c>
      <c r="B159" t="s">
        <v>1</v>
      </c>
      <c r="C159" t="s">
        <v>2</v>
      </c>
      <c r="D159" t="s">
        <v>1</v>
      </c>
      <c r="E159" t="s">
        <v>31</v>
      </c>
      <c r="F159" s="4"/>
    </row>
    <row r="160" spans="1:6" x14ac:dyDescent="0.2">
      <c r="F160" s="4"/>
    </row>
    <row r="161" spans="1:6" x14ac:dyDescent="0.2">
      <c r="A161" s="1" t="s">
        <v>632</v>
      </c>
      <c r="F161" s="4"/>
    </row>
    <row r="162" spans="1:6" x14ac:dyDescent="0.2">
      <c r="A162" t="s">
        <v>637</v>
      </c>
      <c r="B162" t="s">
        <v>2</v>
      </c>
      <c r="C162" t="s">
        <v>2</v>
      </c>
      <c r="D162" t="s">
        <v>2</v>
      </c>
      <c r="E162" t="s">
        <v>31</v>
      </c>
      <c r="F162" s="4" t="s">
        <v>616</v>
      </c>
    </row>
    <row r="163" spans="1:6" x14ac:dyDescent="0.2">
      <c r="A163" t="s">
        <v>633</v>
      </c>
      <c r="B163" t="s">
        <v>2</v>
      </c>
      <c r="C163" t="s">
        <v>2</v>
      </c>
      <c r="D163" t="s">
        <v>2</v>
      </c>
      <c r="E163" t="s">
        <v>31</v>
      </c>
      <c r="F163" s="4" t="s">
        <v>616</v>
      </c>
    </row>
    <row r="164" spans="1:6" x14ac:dyDescent="0.2">
      <c r="F164" s="4"/>
    </row>
    <row r="165" spans="1:6" x14ac:dyDescent="0.2">
      <c r="A165" t="s">
        <v>743</v>
      </c>
      <c r="F165" s="4"/>
    </row>
    <row r="166" spans="1:6" x14ac:dyDescent="0.2">
      <c r="A166" t="s">
        <v>744</v>
      </c>
      <c r="B166" t="s">
        <v>1</v>
      </c>
      <c r="C166" t="s">
        <v>1</v>
      </c>
      <c r="D166" t="s">
        <v>2</v>
      </c>
      <c r="E166" t="s">
        <v>39</v>
      </c>
      <c r="F166" s="4" t="s">
        <v>725</v>
      </c>
    </row>
    <row r="167" spans="1:6" x14ac:dyDescent="0.2">
      <c r="F167" s="4"/>
    </row>
    <row r="168" spans="1:6" x14ac:dyDescent="0.2">
      <c r="A168" s="1" t="s">
        <v>176</v>
      </c>
      <c r="F168" s="4"/>
    </row>
    <row r="169" spans="1:6" x14ac:dyDescent="0.2">
      <c r="A169" t="s">
        <v>177</v>
      </c>
      <c r="B169" t="s">
        <v>1</v>
      </c>
      <c r="C169" t="s">
        <v>1</v>
      </c>
      <c r="D169" t="s">
        <v>2</v>
      </c>
      <c r="E169" t="s">
        <v>45</v>
      </c>
      <c r="F169" s="4" t="s">
        <v>120</v>
      </c>
    </row>
    <row r="170" spans="1:6" x14ac:dyDescent="0.2">
      <c r="A170" t="s">
        <v>178</v>
      </c>
      <c r="B170" t="s">
        <v>1</v>
      </c>
      <c r="C170" t="s">
        <v>1</v>
      </c>
      <c r="D170" t="s">
        <v>2</v>
      </c>
      <c r="E170" t="s">
        <v>45</v>
      </c>
      <c r="F170" s="4" t="s">
        <v>120</v>
      </c>
    </row>
    <row r="171" spans="1:6" x14ac:dyDescent="0.2">
      <c r="A171" t="s">
        <v>179</v>
      </c>
      <c r="B171" t="s">
        <v>1</v>
      </c>
      <c r="C171" t="s">
        <v>1</v>
      </c>
      <c r="D171" t="s">
        <v>2</v>
      </c>
      <c r="E171" t="s">
        <v>39</v>
      </c>
      <c r="F171" s="4" t="s">
        <v>121</v>
      </c>
    </row>
    <row r="172" spans="1:6" x14ac:dyDescent="0.2">
      <c r="F172" s="4"/>
    </row>
    <row r="173" spans="1:6" x14ac:dyDescent="0.2">
      <c r="A173" t="s">
        <v>681</v>
      </c>
      <c r="F173" s="4"/>
    </row>
    <row r="174" spans="1:6" x14ac:dyDescent="0.2">
      <c r="A174" t="s">
        <v>682</v>
      </c>
      <c r="B174" t="s">
        <v>1</v>
      </c>
      <c r="C174" t="s">
        <v>2</v>
      </c>
      <c r="D174" t="s">
        <v>2</v>
      </c>
      <c r="E174" t="s">
        <v>31</v>
      </c>
      <c r="F174" s="4" t="s">
        <v>558</v>
      </c>
    </row>
    <row r="175" spans="1:6" x14ac:dyDescent="0.2">
      <c r="F175" s="4"/>
    </row>
    <row r="176" spans="1:6" x14ac:dyDescent="0.2">
      <c r="A176" s="1" t="s">
        <v>448</v>
      </c>
      <c r="F176" s="4"/>
    </row>
    <row r="177" spans="1:7" x14ac:dyDescent="0.2">
      <c r="A177" t="s">
        <v>729</v>
      </c>
      <c r="B177" t="s">
        <v>1</v>
      </c>
      <c r="C177" t="s">
        <v>1</v>
      </c>
      <c r="D177" t="s">
        <v>2</v>
      </c>
      <c r="E177" t="s">
        <v>29</v>
      </c>
      <c r="F177" s="4" t="s">
        <v>725</v>
      </c>
    </row>
    <row r="178" spans="1:7" x14ac:dyDescent="0.2">
      <c r="A178" t="s">
        <v>730</v>
      </c>
      <c r="B178" t="s">
        <v>2</v>
      </c>
      <c r="C178" t="s">
        <v>2</v>
      </c>
      <c r="D178" t="s">
        <v>2</v>
      </c>
      <c r="E178" t="s">
        <v>31</v>
      </c>
      <c r="F178" s="4" t="s">
        <v>725</v>
      </c>
    </row>
    <row r="179" spans="1:7" x14ac:dyDescent="0.2">
      <c r="A179" t="s">
        <v>731</v>
      </c>
      <c r="B179" t="s">
        <v>2</v>
      </c>
      <c r="C179" t="s">
        <v>2</v>
      </c>
      <c r="D179" t="s">
        <v>2</v>
      </c>
      <c r="E179" t="s">
        <v>31</v>
      </c>
      <c r="F179" s="4" t="s">
        <v>725</v>
      </c>
    </row>
    <row r="180" spans="1:7" x14ac:dyDescent="0.2">
      <c r="A180" t="s">
        <v>732</v>
      </c>
      <c r="B180" t="s">
        <v>1</v>
      </c>
      <c r="C180" t="s">
        <v>1</v>
      </c>
      <c r="D180" t="s">
        <v>2</v>
      </c>
      <c r="E180" t="s">
        <v>29</v>
      </c>
      <c r="F180" s="4" t="s">
        <v>725</v>
      </c>
    </row>
    <row r="181" spans="1:7" x14ac:dyDescent="0.2">
      <c r="A181" t="s">
        <v>733</v>
      </c>
      <c r="B181" t="s">
        <v>2</v>
      </c>
      <c r="C181" t="s">
        <v>2</v>
      </c>
      <c r="D181" t="s">
        <v>2</v>
      </c>
      <c r="E181" t="s">
        <v>31</v>
      </c>
      <c r="F181" s="4" t="s">
        <v>725</v>
      </c>
    </row>
    <row r="182" spans="1:7" x14ac:dyDescent="0.2">
      <c r="A182" t="s">
        <v>623</v>
      </c>
      <c r="B182" t="s">
        <v>2</v>
      </c>
      <c r="C182" t="s">
        <v>2</v>
      </c>
      <c r="D182" t="s">
        <v>2</v>
      </c>
      <c r="E182" t="s">
        <v>31</v>
      </c>
      <c r="F182" s="4" t="s">
        <v>616</v>
      </c>
    </row>
    <row r="183" spans="1:7" x14ac:dyDescent="0.2">
      <c r="A183" t="s">
        <v>734</v>
      </c>
      <c r="B183" t="s">
        <v>1</v>
      </c>
      <c r="C183" t="s">
        <v>1</v>
      </c>
      <c r="D183" t="s">
        <v>2</v>
      </c>
      <c r="E183" t="s">
        <v>29</v>
      </c>
      <c r="F183" s="4" t="s">
        <v>725</v>
      </c>
    </row>
    <row r="184" spans="1:7" x14ac:dyDescent="0.2">
      <c r="A184" t="s">
        <v>735</v>
      </c>
      <c r="B184" t="s">
        <v>1</v>
      </c>
      <c r="C184" t="s">
        <v>1</v>
      </c>
      <c r="D184" t="s">
        <v>2</v>
      </c>
      <c r="E184" t="s">
        <v>29</v>
      </c>
      <c r="F184" s="4" t="s">
        <v>725</v>
      </c>
    </row>
    <row r="185" spans="1:7" x14ac:dyDescent="0.2">
      <c r="A185" t="s">
        <v>431</v>
      </c>
      <c r="B185" t="s">
        <v>2</v>
      </c>
      <c r="C185" t="s">
        <v>2</v>
      </c>
      <c r="D185" t="s">
        <v>1</v>
      </c>
      <c r="E185" t="s">
        <v>31</v>
      </c>
      <c r="F185" s="4" t="s">
        <v>67</v>
      </c>
    </row>
    <row r="186" spans="1:7" x14ac:dyDescent="0.2">
      <c r="F186" s="4"/>
    </row>
    <row r="187" spans="1:7" x14ac:dyDescent="0.2">
      <c r="A187" s="1" t="s">
        <v>282</v>
      </c>
      <c r="F187" s="4"/>
    </row>
    <row r="188" spans="1:7" x14ac:dyDescent="0.2">
      <c r="A188" t="s">
        <v>180</v>
      </c>
      <c r="B188" t="s">
        <v>1</v>
      </c>
      <c r="C188" t="s">
        <v>1</v>
      </c>
      <c r="D188" t="s">
        <v>2</v>
      </c>
      <c r="E188" t="s">
        <v>29</v>
      </c>
      <c r="F188" s="4" t="s">
        <v>64</v>
      </c>
    </row>
    <row r="189" spans="1:7" x14ac:dyDescent="0.2">
      <c r="F189" s="4"/>
      <c r="G189" s="1"/>
    </row>
    <row r="190" spans="1:7" x14ac:dyDescent="0.2">
      <c r="A190" s="1" t="s">
        <v>283</v>
      </c>
      <c r="B190" s="1"/>
      <c r="C190" s="1"/>
      <c r="F190" s="4"/>
    </row>
    <row r="191" spans="1:7" x14ac:dyDescent="0.2">
      <c r="A191" t="s">
        <v>181</v>
      </c>
      <c r="B191" t="s">
        <v>1</v>
      </c>
      <c r="C191" t="s">
        <v>1</v>
      </c>
      <c r="D191" t="s">
        <v>2</v>
      </c>
      <c r="E191" t="s">
        <v>29</v>
      </c>
      <c r="F191" s="4" t="s">
        <v>44</v>
      </c>
    </row>
    <row r="192" spans="1:7" x14ac:dyDescent="0.2">
      <c r="F192" s="4"/>
    </row>
    <row r="193" spans="1:9" s="1" customFormat="1" x14ac:dyDescent="0.2">
      <c r="A193" s="1" t="s">
        <v>182</v>
      </c>
      <c r="B193"/>
      <c r="C193"/>
      <c r="D193"/>
      <c r="E193"/>
      <c r="F193" s="4"/>
      <c r="G193"/>
      <c r="H193"/>
      <c r="I193"/>
    </row>
    <row r="194" spans="1:9" s="1" customFormat="1" x14ac:dyDescent="0.2">
      <c r="A194" t="s">
        <v>183</v>
      </c>
      <c r="B194" t="s">
        <v>1</v>
      </c>
      <c r="C194" t="s">
        <v>1</v>
      </c>
      <c r="D194" t="s">
        <v>2</v>
      </c>
      <c r="E194" t="s">
        <v>25</v>
      </c>
      <c r="F194" s="4" t="s">
        <v>28</v>
      </c>
      <c r="G194"/>
      <c r="H194"/>
      <c r="I194"/>
    </row>
    <row r="195" spans="1:9" x14ac:dyDescent="0.2">
      <c r="F195" s="4"/>
      <c r="G195" s="1"/>
      <c r="H195" s="1"/>
      <c r="I195" s="1"/>
    </row>
    <row r="196" spans="1:9" x14ac:dyDescent="0.2">
      <c r="A196" t="s">
        <v>656</v>
      </c>
      <c r="G196" s="1"/>
      <c r="H196" s="1"/>
      <c r="I196" s="1"/>
    </row>
    <row r="197" spans="1:9" x14ac:dyDescent="0.2">
      <c r="A197" t="s">
        <v>657</v>
      </c>
      <c r="B197" t="s">
        <v>2</v>
      </c>
      <c r="C197" t="s">
        <v>2</v>
      </c>
      <c r="D197" t="s">
        <v>1</v>
      </c>
      <c r="E197" t="s">
        <v>31</v>
      </c>
      <c r="F197" s="4" t="s">
        <v>658</v>
      </c>
    </row>
    <row r="198" spans="1:9" x14ac:dyDescent="0.2">
      <c r="F198" s="4"/>
    </row>
    <row r="199" spans="1:9" x14ac:dyDescent="0.2">
      <c r="A199" t="s">
        <v>766</v>
      </c>
      <c r="F199" s="4"/>
    </row>
    <row r="200" spans="1:9" x14ac:dyDescent="0.2">
      <c r="A200" t="s">
        <v>767</v>
      </c>
      <c r="B200" t="s">
        <v>2</v>
      </c>
      <c r="C200" t="s">
        <v>2</v>
      </c>
      <c r="D200" t="s">
        <v>2</v>
      </c>
      <c r="E200" t="s">
        <v>31</v>
      </c>
      <c r="F200" s="4" t="s">
        <v>725</v>
      </c>
    </row>
    <row r="201" spans="1:9" x14ac:dyDescent="0.2">
      <c r="F201" s="4"/>
    </row>
    <row r="202" spans="1:9" x14ac:dyDescent="0.2">
      <c r="A202" t="s">
        <v>768</v>
      </c>
      <c r="F202" s="4"/>
    </row>
    <row r="203" spans="1:9" x14ac:dyDescent="0.2">
      <c r="A203" t="s">
        <v>769</v>
      </c>
      <c r="B203" t="s">
        <v>2</v>
      </c>
      <c r="C203" t="s">
        <v>2</v>
      </c>
      <c r="D203" t="s">
        <v>2</v>
      </c>
      <c r="E203" t="s">
        <v>31</v>
      </c>
      <c r="F203" s="4" t="s">
        <v>725</v>
      </c>
    </row>
    <row r="204" spans="1:9" x14ac:dyDescent="0.2">
      <c r="A204" t="s">
        <v>770</v>
      </c>
      <c r="B204" t="s">
        <v>2</v>
      </c>
      <c r="C204" t="s">
        <v>2</v>
      </c>
      <c r="D204" t="s">
        <v>2</v>
      </c>
      <c r="E204" t="s">
        <v>31</v>
      </c>
      <c r="F204" s="4" t="s">
        <v>725</v>
      </c>
    </row>
    <row r="205" spans="1:9" x14ac:dyDescent="0.2">
      <c r="F205" s="4"/>
    </row>
    <row r="206" spans="1:9" x14ac:dyDescent="0.2">
      <c r="A206" t="s">
        <v>674</v>
      </c>
      <c r="B206" s="1"/>
      <c r="C206" s="1"/>
      <c r="D206" s="1"/>
      <c r="E206" s="1"/>
      <c r="F206" s="1"/>
    </row>
    <row r="207" spans="1:9" x14ac:dyDescent="0.2">
      <c r="A207" t="s">
        <v>675</v>
      </c>
      <c r="B207" t="s">
        <v>1</v>
      </c>
      <c r="C207" t="s">
        <v>2</v>
      </c>
      <c r="D207" t="s">
        <v>1</v>
      </c>
      <c r="E207" t="s">
        <v>31</v>
      </c>
      <c r="F207" s="4" t="s">
        <v>43</v>
      </c>
    </row>
    <row r="208" spans="1:9" x14ac:dyDescent="0.2">
      <c r="F208" s="4"/>
    </row>
    <row r="209" spans="1:9" x14ac:dyDescent="0.2">
      <c r="A209" s="1" t="s">
        <v>402</v>
      </c>
      <c r="F209" s="4"/>
    </row>
    <row r="210" spans="1:9" x14ac:dyDescent="0.2">
      <c r="A210" t="s">
        <v>367</v>
      </c>
      <c r="B210" t="s">
        <v>1</v>
      </c>
      <c r="C210" t="s">
        <v>2</v>
      </c>
      <c r="D210" t="s">
        <v>2</v>
      </c>
      <c r="E210" s="4" t="s">
        <v>60</v>
      </c>
      <c r="F210" s="4" t="s">
        <v>61</v>
      </c>
    </row>
    <row r="211" spans="1:9" x14ac:dyDescent="0.2">
      <c r="E211" s="4"/>
      <c r="F211" s="4"/>
    </row>
    <row r="212" spans="1:9" x14ac:dyDescent="0.2">
      <c r="A212" s="1" t="s">
        <v>403</v>
      </c>
      <c r="E212" s="4"/>
      <c r="F212" s="4"/>
    </row>
    <row r="213" spans="1:9" x14ac:dyDescent="0.2">
      <c r="A213" t="s">
        <v>368</v>
      </c>
      <c r="B213" t="s">
        <v>2</v>
      </c>
      <c r="C213" t="s">
        <v>2</v>
      </c>
      <c r="D213" t="s">
        <v>2</v>
      </c>
      <c r="E213" t="s">
        <v>135</v>
      </c>
      <c r="F213" s="4" t="s">
        <v>138</v>
      </c>
    </row>
    <row r="214" spans="1:9" x14ac:dyDescent="0.2">
      <c r="F214" s="4"/>
    </row>
    <row r="215" spans="1:9" s="1" customFormat="1" x14ac:dyDescent="0.2">
      <c r="A215" s="1" t="s">
        <v>426</v>
      </c>
      <c r="B215"/>
      <c r="C215"/>
      <c r="D215"/>
      <c r="E215"/>
      <c r="F215" s="4"/>
      <c r="G215"/>
      <c r="H215"/>
      <c r="I215"/>
    </row>
    <row r="216" spans="1:9" s="1" customFormat="1" x14ac:dyDescent="0.2">
      <c r="A216" t="s">
        <v>427</v>
      </c>
      <c r="B216" t="s">
        <v>2</v>
      </c>
      <c r="C216" t="s">
        <v>2</v>
      </c>
      <c r="D216" t="s">
        <v>2</v>
      </c>
      <c r="E216" t="s">
        <v>31</v>
      </c>
      <c r="F216" s="4" t="s">
        <v>80</v>
      </c>
      <c r="G216"/>
      <c r="H216"/>
      <c r="I216"/>
    </row>
    <row r="217" spans="1:9" x14ac:dyDescent="0.2">
      <c r="F217" s="4"/>
      <c r="I217" s="1"/>
    </row>
    <row r="218" spans="1:9" x14ac:dyDescent="0.2">
      <c r="A218" s="1" t="s">
        <v>404</v>
      </c>
      <c r="F218" s="4"/>
      <c r="G218" s="1"/>
      <c r="H218" s="1"/>
      <c r="I218" s="1"/>
    </row>
    <row r="219" spans="1:9" x14ac:dyDescent="0.2">
      <c r="A219" t="s">
        <v>369</v>
      </c>
      <c r="B219" t="s">
        <v>1</v>
      </c>
      <c r="C219" t="s">
        <v>2</v>
      </c>
      <c r="D219" t="s">
        <v>2</v>
      </c>
      <c r="E219" s="4" t="s">
        <v>60</v>
      </c>
      <c r="F219" s="4" t="s">
        <v>61</v>
      </c>
    </row>
    <row r="220" spans="1:9" x14ac:dyDescent="0.2">
      <c r="E220" s="4"/>
      <c r="F220" s="4"/>
    </row>
    <row r="221" spans="1:9" x14ac:dyDescent="0.2">
      <c r="A221" t="s">
        <v>687</v>
      </c>
      <c r="F221" s="4"/>
    </row>
    <row r="222" spans="1:9" x14ac:dyDescent="0.2">
      <c r="A222" t="s">
        <v>688</v>
      </c>
      <c r="B222" t="s">
        <v>1</v>
      </c>
      <c r="C222" t="s">
        <v>1</v>
      </c>
      <c r="D222" t="s">
        <v>2</v>
      </c>
      <c r="E222" t="s">
        <v>689</v>
      </c>
      <c r="F222" s="4" t="s">
        <v>690</v>
      </c>
    </row>
    <row r="223" spans="1:9" x14ac:dyDescent="0.2">
      <c r="F223" s="4"/>
    </row>
    <row r="224" spans="1:9" x14ac:dyDescent="0.2">
      <c r="A224" s="1" t="s">
        <v>575</v>
      </c>
      <c r="B224" s="1"/>
      <c r="C224" s="1"/>
      <c r="D224" s="1"/>
      <c r="E224" s="1"/>
      <c r="F224" s="10"/>
    </row>
    <row r="225" spans="1:6" x14ac:dyDescent="0.2">
      <c r="A225" t="s">
        <v>574</v>
      </c>
      <c r="B225" t="s">
        <v>2</v>
      </c>
      <c r="C225" t="s">
        <v>2</v>
      </c>
      <c r="D225" t="s">
        <v>2</v>
      </c>
      <c r="E225" t="s">
        <v>31</v>
      </c>
      <c r="F225" s="4" t="s">
        <v>573</v>
      </c>
    </row>
    <row r="226" spans="1:6" x14ac:dyDescent="0.2">
      <c r="F226" s="4"/>
    </row>
    <row r="227" spans="1:6" ht="17" customHeight="1" x14ac:dyDescent="0.2">
      <c r="A227" s="1" t="s">
        <v>284</v>
      </c>
      <c r="F227" s="4"/>
    </row>
    <row r="228" spans="1:6" x14ac:dyDescent="0.2">
      <c r="A228" t="s">
        <v>184</v>
      </c>
      <c r="B228" t="s">
        <v>1</v>
      </c>
      <c r="C228" t="s">
        <v>1</v>
      </c>
      <c r="D228" t="s">
        <v>2</v>
      </c>
      <c r="E228" t="s">
        <v>39</v>
      </c>
      <c r="F228" s="4" t="s">
        <v>57</v>
      </c>
    </row>
    <row r="229" spans="1:6" x14ac:dyDescent="0.2">
      <c r="F229" s="4"/>
    </row>
    <row r="230" spans="1:6" x14ac:dyDescent="0.2">
      <c r="A230" s="1" t="s">
        <v>405</v>
      </c>
      <c r="F230" s="4"/>
    </row>
    <row r="231" spans="1:6" x14ac:dyDescent="0.2">
      <c r="A231" t="s">
        <v>370</v>
      </c>
      <c r="B231" t="s">
        <v>1</v>
      </c>
      <c r="C231" t="s">
        <v>2</v>
      </c>
      <c r="D231" t="s">
        <v>2</v>
      </c>
      <c r="E231" t="s">
        <v>135</v>
      </c>
      <c r="F231" s="4" t="s">
        <v>138</v>
      </c>
    </row>
    <row r="232" spans="1:6" x14ac:dyDescent="0.2">
      <c r="A232" t="s">
        <v>371</v>
      </c>
      <c r="B232" t="s">
        <v>1</v>
      </c>
      <c r="C232" t="s">
        <v>1</v>
      </c>
      <c r="D232" t="s">
        <v>2</v>
      </c>
      <c r="E232" t="s">
        <v>29</v>
      </c>
      <c r="F232" s="4" t="s">
        <v>78</v>
      </c>
    </row>
    <row r="233" spans="1:6" x14ac:dyDescent="0.2">
      <c r="F233" s="4"/>
    </row>
    <row r="234" spans="1:6" x14ac:dyDescent="0.2">
      <c r="A234" s="1" t="s">
        <v>465</v>
      </c>
      <c r="F234" s="4"/>
    </row>
    <row r="235" spans="1:6" x14ac:dyDescent="0.2">
      <c r="A235" t="s">
        <v>624</v>
      </c>
      <c r="B235" t="s">
        <v>2</v>
      </c>
      <c r="C235" t="s">
        <v>2</v>
      </c>
      <c r="D235" t="s">
        <v>2</v>
      </c>
      <c r="E235" t="s">
        <v>31</v>
      </c>
      <c r="F235" s="4" t="s">
        <v>616</v>
      </c>
    </row>
    <row r="236" spans="1:6" x14ac:dyDescent="0.2">
      <c r="A236" t="s">
        <v>464</v>
      </c>
      <c r="B236" t="s">
        <v>1</v>
      </c>
      <c r="C236" t="s">
        <v>1</v>
      </c>
      <c r="D236" t="s">
        <v>2</v>
      </c>
      <c r="E236" t="s">
        <v>653</v>
      </c>
      <c r="F236" s="6" t="s">
        <v>81</v>
      </c>
    </row>
    <row r="237" spans="1:6" x14ac:dyDescent="0.2">
      <c r="A237" t="s">
        <v>625</v>
      </c>
      <c r="B237" t="s">
        <v>2</v>
      </c>
      <c r="C237" t="s">
        <v>2</v>
      </c>
      <c r="D237" t="s">
        <v>2</v>
      </c>
      <c r="E237" t="s">
        <v>31</v>
      </c>
      <c r="F237" s="4" t="s">
        <v>616</v>
      </c>
    </row>
    <row r="238" spans="1:6" x14ac:dyDescent="0.2">
      <c r="F238" s="4"/>
    </row>
    <row r="239" spans="1:6" x14ac:dyDescent="0.2">
      <c r="A239" s="1" t="s">
        <v>450</v>
      </c>
      <c r="F239" s="4"/>
    </row>
    <row r="240" spans="1:6" x14ac:dyDescent="0.2">
      <c r="A240" t="s">
        <v>433</v>
      </c>
      <c r="B240" t="s">
        <v>2</v>
      </c>
      <c r="C240" t="s">
        <v>2</v>
      </c>
      <c r="D240" t="s">
        <v>1</v>
      </c>
      <c r="E240" t="s">
        <v>31</v>
      </c>
      <c r="F240" s="4" t="s">
        <v>77</v>
      </c>
    </row>
    <row r="241" spans="1:6" x14ac:dyDescent="0.2">
      <c r="A241" t="s">
        <v>622</v>
      </c>
      <c r="B241" t="s">
        <v>2</v>
      </c>
      <c r="C241" t="s">
        <v>2</v>
      </c>
      <c r="D241" t="s">
        <v>2</v>
      </c>
      <c r="E241" t="s">
        <v>31</v>
      </c>
      <c r="F241" s="4" t="s">
        <v>616</v>
      </c>
    </row>
    <row r="242" spans="1:6" x14ac:dyDescent="0.2">
      <c r="F242" s="4"/>
    </row>
    <row r="243" spans="1:6" x14ac:dyDescent="0.2">
      <c r="A243" s="1" t="s">
        <v>514</v>
      </c>
      <c r="B243" s="1"/>
      <c r="C243" s="1"/>
      <c r="D243" s="1"/>
      <c r="F243" s="4"/>
    </row>
    <row r="244" spans="1:6" x14ac:dyDescent="0.2">
      <c r="A244" t="s">
        <v>484</v>
      </c>
      <c r="B244" t="s">
        <v>1</v>
      </c>
      <c r="C244" t="s">
        <v>1</v>
      </c>
      <c r="D244" t="s">
        <v>2</v>
      </c>
      <c r="E244" t="s">
        <v>29</v>
      </c>
      <c r="F244" s="4" t="s">
        <v>46</v>
      </c>
    </row>
    <row r="245" spans="1:6" x14ac:dyDescent="0.2">
      <c r="F245" s="4"/>
    </row>
    <row r="246" spans="1:6" x14ac:dyDescent="0.2">
      <c r="A246" s="1" t="s">
        <v>406</v>
      </c>
      <c r="F246" s="4"/>
    </row>
    <row r="247" spans="1:6" x14ac:dyDescent="0.2">
      <c r="A247" t="s">
        <v>372</v>
      </c>
      <c r="B247" t="s">
        <v>2</v>
      </c>
      <c r="C247" t="s">
        <v>2</v>
      </c>
      <c r="D247" t="s">
        <v>2</v>
      </c>
      <c r="E247" t="s">
        <v>137</v>
      </c>
      <c r="F247" s="4" t="s">
        <v>138</v>
      </c>
    </row>
    <row r="248" spans="1:6" x14ac:dyDescent="0.2">
      <c r="F248" s="4"/>
    </row>
    <row r="249" spans="1:6" x14ac:dyDescent="0.2">
      <c r="A249" s="1" t="s">
        <v>354</v>
      </c>
      <c r="F249" s="4"/>
    </row>
    <row r="250" spans="1:6" x14ac:dyDescent="0.2">
      <c r="A250" t="s">
        <v>341</v>
      </c>
      <c r="B250" t="s">
        <v>1</v>
      </c>
      <c r="C250" t="s">
        <v>1</v>
      </c>
      <c r="D250" t="s">
        <v>2</v>
      </c>
      <c r="E250" t="s">
        <v>29</v>
      </c>
      <c r="F250" s="4" t="s">
        <v>82</v>
      </c>
    </row>
    <row r="251" spans="1:6" x14ac:dyDescent="0.2">
      <c r="A251" t="s">
        <v>585</v>
      </c>
      <c r="B251" t="s">
        <v>2</v>
      </c>
      <c r="C251" t="s">
        <v>2</v>
      </c>
      <c r="D251" t="s">
        <v>2</v>
      </c>
      <c r="E251" t="s">
        <v>31</v>
      </c>
      <c r="F251" s="4" t="s">
        <v>558</v>
      </c>
    </row>
    <row r="252" spans="1:6" x14ac:dyDescent="0.2">
      <c r="F252" s="4"/>
    </row>
    <row r="253" spans="1:6" x14ac:dyDescent="0.2">
      <c r="A253" s="1" t="s">
        <v>285</v>
      </c>
      <c r="F253" s="4"/>
    </row>
    <row r="254" spans="1:6" x14ac:dyDescent="0.2">
      <c r="A254" t="s">
        <v>185</v>
      </c>
      <c r="B254" t="s">
        <v>1</v>
      </c>
      <c r="C254" t="s">
        <v>2</v>
      </c>
      <c r="D254" t="s">
        <v>1</v>
      </c>
      <c r="E254" t="s">
        <v>31</v>
      </c>
      <c r="F254" s="4" t="s">
        <v>43</v>
      </c>
    </row>
    <row r="255" spans="1:6" x14ac:dyDescent="0.2">
      <c r="F255" s="4"/>
    </row>
    <row r="256" spans="1:6" x14ac:dyDescent="0.2">
      <c r="A256" s="1" t="s">
        <v>515</v>
      </c>
      <c r="F256" s="4"/>
    </row>
    <row r="257" spans="1:6" x14ac:dyDescent="0.2">
      <c r="A257" t="s">
        <v>485</v>
      </c>
      <c r="B257" t="s">
        <v>1</v>
      </c>
      <c r="C257" t="s">
        <v>2</v>
      </c>
      <c r="D257" t="s">
        <v>1</v>
      </c>
      <c r="E257" t="s">
        <v>31</v>
      </c>
      <c r="F257" s="4" t="s">
        <v>43</v>
      </c>
    </row>
    <row r="258" spans="1:6" x14ac:dyDescent="0.2">
      <c r="A258" t="s">
        <v>486</v>
      </c>
      <c r="B258" t="s">
        <v>1</v>
      </c>
      <c r="C258" t="s">
        <v>2</v>
      </c>
      <c r="D258" t="s">
        <v>1</v>
      </c>
      <c r="E258" t="s">
        <v>31</v>
      </c>
      <c r="F258" s="4" t="s">
        <v>43</v>
      </c>
    </row>
    <row r="259" spans="1:6" x14ac:dyDescent="0.2">
      <c r="F259" s="4"/>
    </row>
    <row r="260" spans="1:6" x14ac:dyDescent="0.2">
      <c r="A260" s="1" t="s">
        <v>355</v>
      </c>
      <c r="F260" s="4"/>
    </row>
    <row r="261" spans="1:6" x14ac:dyDescent="0.2">
      <c r="A261" t="s">
        <v>342</v>
      </c>
      <c r="B261" t="s">
        <v>1</v>
      </c>
      <c r="C261" t="s">
        <v>1</v>
      </c>
      <c r="D261" t="s">
        <v>2</v>
      </c>
      <c r="E261" t="s">
        <v>95</v>
      </c>
      <c r="F261" s="4" t="s">
        <v>44</v>
      </c>
    </row>
    <row r="262" spans="1:6" x14ac:dyDescent="0.2">
      <c r="F262" s="4"/>
    </row>
    <row r="263" spans="1:6" x14ac:dyDescent="0.2">
      <c r="A263" s="1" t="s">
        <v>286</v>
      </c>
      <c r="F263" s="4"/>
    </row>
    <row r="264" spans="1:6" x14ac:dyDescent="0.2">
      <c r="A264" t="s">
        <v>186</v>
      </c>
      <c r="B264" t="s">
        <v>1</v>
      </c>
      <c r="C264" t="s">
        <v>1</v>
      </c>
      <c r="D264" t="s">
        <v>2</v>
      </c>
      <c r="E264" t="s">
        <v>83</v>
      </c>
      <c r="F264" s="4" t="s">
        <v>38</v>
      </c>
    </row>
    <row r="265" spans="1:6" x14ac:dyDescent="0.2">
      <c r="F265" s="4"/>
    </row>
    <row r="266" spans="1:6" x14ac:dyDescent="0.2">
      <c r="A266" s="1" t="s">
        <v>407</v>
      </c>
      <c r="F266" s="4"/>
    </row>
    <row r="267" spans="1:6" x14ac:dyDescent="0.2">
      <c r="A267" t="s">
        <v>373</v>
      </c>
      <c r="B267" t="s">
        <v>1</v>
      </c>
      <c r="C267" t="s">
        <v>1</v>
      </c>
      <c r="D267" t="s">
        <v>2</v>
      </c>
      <c r="E267" t="s">
        <v>29</v>
      </c>
      <c r="F267" s="4" t="s">
        <v>78</v>
      </c>
    </row>
    <row r="268" spans="1:6" x14ac:dyDescent="0.2">
      <c r="F268" s="4"/>
    </row>
    <row r="269" spans="1:6" x14ac:dyDescent="0.2">
      <c r="A269" s="1" t="s">
        <v>287</v>
      </c>
      <c r="F269" s="4"/>
    </row>
    <row r="270" spans="1:6" x14ac:dyDescent="0.2">
      <c r="A270" t="s">
        <v>745</v>
      </c>
      <c r="B270" t="s">
        <v>1</v>
      </c>
      <c r="C270" t="s">
        <v>1</v>
      </c>
      <c r="D270" t="s">
        <v>2</v>
      </c>
      <c r="E270" t="s">
        <v>29</v>
      </c>
      <c r="F270" s="4" t="s">
        <v>725</v>
      </c>
    </row>
    <row r="271" spans="1:6" x14ac:dyDescent="0.2">
      <c r="A271" t="s">
        <v>187</v>
      </c>
      <c r="B271" t="s">
        <v>1</v>
      </c>
      <c r="C271" t="s">
        <v>1</v>
      </c>
      <c r="D271" t="s">
        <v>2</v>
      </c>
      <c r="E271" t="s">
        <v>41</v>
      </c>
      <c r="F271" s="4" t="s">
        <v>38</v>
      </c>
    </row>
    <row r="272" spans="1:6" x14ac:dyDescent="0.2">
      <c r="F272" s="4"/>
    </row>
    <row r="273" spans="1:6" x14ac:dyDescent="0.2">
      <c r="A273" s="1" t="s">
        <v>288</v>
      </c>
      <c r="F273" s="4"/>
    </row>
    <row r="274" spans="1:6" x14ac:dyDescent="0.2">
      <c r="A274" t="s">
        <v>742</v>
      </c>
      <c r="B274" t="s">
        <v>1</v>
      </c>
      <c r="C274" t="s">
        <v>1</v>
      </c>
      <c r="D274" t="s">
        <v>2</v>
      </c>
      <c r="E274" t="s">
        <v>29</v>
      </c>
      <c r="F274" s="4" t="s">
        <v>725</v>
      </c>
    </row>
    <row r="275" spans="1:6" x14ac:dyDescent="0.2">
      <c r="A275" t="s">
        <v>188</v>
      </c>
      <c r="B275" t="s">
        <v>1</v>
      </c>
      <c r="C275" t="s">
        <v>1</v>
      </c>
      <c r="D275" t="s">
        <v>2</v>
      </c>
      <c r="E275" t="s">
        <v>41</v>
      </c>
      <c r="F275" s="4" t="s">
        <v>38</v>
      </c>
    </row>
    <row r="276" spans="1:6" x14ac:dyDescent="0.2">
      <c r="A276" t="s">
        <v>189</v>
      </c>
      <c r="B276" t="s">
        <v>1</v>
      </c>
      <c r="C276" t="s">
        <v>1</v>
      </c>
      <c r="D276" t="s">
        <v>2</v>
      </c>
      <c r="E276" t="s">
        <v>41</v>
      </c>
      <c r="F276" s="4" t="s">
        <v>38</v>
      </c>
    </row>
    <row r="277" spans="1:6" x14ac:dyDescent="0.2">
      <c r="F277" s="4"/>
    </row>
    <row r="278" spans="1:6" x14ac:dyDescent="0.2">
      <c r="A278" s="1" t="s">
        <v>516</v>
      </c>
      <c r="F278" s="4"/>
    </row>
    <row r="279" spans="1:6" x14ac:dyDescent="0.2">
      <c r="A279" t="s">
        <v>487</v>
      </c>
      <c r="B279" t="s">
        <v>1</v>
      </c>
      <c r="C279" t="s">
        <v>1</v>
      </c>
      <c r="D279" t="s">
        <v>2</v>
      </c>
      <c r="E279" t="s">
        <v>39</v>
      </c>
      <c r="F279" s="4" t="s">
        <v>46</v>
      </c>
    </row>
    <row r="280" spans="1:6" x14ac:dyDescent="0.2">
      <c r="F280" s="4"/>
    </row>
    <row r="281" spans="1:6" x14ac:dyDescent="0.2">
      <c r="A281" s="1" t="s">
        <v>289</v>
      </c>
      <c r="F281" s="4"/>
    </row>
    <row r="282" spans="1:6" x14ac:dyDescent="0.2">
      <c r="A282" t="s">
        <v>190</v>
      </c>
      <c r="B282" t="s">
        <v>1</v>
      </c>
      <c r="C282" t="s">
        <v>1</v>
      </c>
      <c r="D282" t="s">
        <v>2</v>
      </c>
      <c r="E282" t="s">
        <v>41</v>
      </c>
      <c r="F282" s="4" t="s">
        <v>38</v>
      </c>
    </row>
    <row r="283" spans="1:6" x14ac:dyDescent="0.2">
      <c r="F283" s="4"/>
    </row>
    <row r="284" spans="1:6" x14ac:dyDescent="0.2">
      <c r="A284" s="1" t="s">
        <v>334</v>
      </c>
      <c r="F284" s="4"/>
    </row>
    <row r="285" spans="1:6" x14ac:dyDescent="0.2">
      <c r="A285" t="s">
        <v>329</v>
      </c>
      <c r="B285" t="s">
        <v>1</v>
      </c>
      <c r="C285" t="s">
        <v>2</v>
      </c>
      <c r="D285" t="s">
        <v>1</v>
      </c>
      <c r="E285" t="s">
        <v>31</v>
      </c>
      <c r="F285" s="4" t="s">
        <v>85</v>
      </c>
    </row>
    <row r="286" spans="1:6" x14ac:dyDescent="0.2">
      <c r="F286" s="4"/>
    </row>
    <row r="287" spans="1:6" x14ac:dyDescent="0.2">
      <c r="A287" s="1" t="s">
        <v>408</v>
      </c>
      <c r="F287" s="4"/>
    </row>
    <row r="288" spans="1:6" x14ac:dyDescent="0.2">
      <c r="A288" t="s">
        <v>374</v>
      </c>
      <c r="B288" t="s">
        <v>1</v>
      </c>
      <c r="C288" t="s">
        <v>2</v>
      </c>
      <c r="D288" t="s">
        <v>2</v>
      </c>
      <c r="E288" s="4" t="s">
        <v>137</v>
      </c>
      <c r="F288" s="4" t="s">
        <v>138</v>
      </c>
    </row>
    <row r="289" spans="1:6" x14ac:dyDescent="0.2">
      <c r="F289" s="4"/>
    </row>
    <row r="290" spans="1:6" ht="17" customHeight="1" x14ac:dyDescent="0.2">
      <c r="A290" s="1" t="s">
        <v>517</v>
      </c>
      <c r="F290" s="4"/>
    </row>
    <row r="291" spans="1:6" x14ac:dyDescent="0.2">
      <c r="A291" t="s">
        <v>488</v>
      </c>
      <c r="B291" t="s">
        <v>1</v>
      </c>
      <c r="C291" t="s">
        <v>1</v>
      </c>
      <c r="D291" t="s">
        <v>2</v>
      </c>
      <c r="E291" t="s">
        <v>54</v>
      </c>
      <c r="F291" s="4" t="s">
        <v>86</v>
      </c>
    </row>
    <row r="292" spans="1:6" x14ac:dyDescent="0.2">
      <c r="F292" s="4"/>
    </row>
    <row r="293" spans="1:6" x14ac:dyDescent="0.2">
      <c r="A293" t="s">
        <v>746</v>
      </c>
      <c r="F293" s="4"/>
    </row>
    <row r="294" spans="1:6" x14ac:dyDescent="0.2">
      <c r="A294" t="s">
        <v>747</v>
      </c>
      <c r="B294" t="s">
        <v>1</v>
      </c>
      <c r="C294" t="s">
        <v>1</v>
      </c>
      <c r="D294" t="s">
        <v>2</v>
      </c>
      <c r="E294" t="s">
        <v>29</v>
      </c>
      <c r="F294" s="4" t="s">
        <v>725</v>
      </c>
    </row>
    <row r="295" spans="1:6" x14ac:dyDescent="0.2">
      <c r="A295" t="s">
        <v>748</v>
      </c>
      <c r="B295" t="s">
        <v>2</v>
      </c>
      <c r="C295" t="s">
        <v>2</v>
      </c>
      <c r="D295" t="s">
        <v>2</v>
      </c>
      <c r="E295" t="s">
        <v>31</v>
      </c>
      <c r="F295" s="4" t="s">
        <v>725</v>
      </c>
    </row>
    <row r="296" spans="1:6" x14ac:dyDescent="0.2">
      <c r="F296" s="4"/>
    </row>
    <row r="297" spans="1:6" x14ac:dyDescent="0.2">
      <c r="A297" s="1" t="s">
        <v>683</v>
      </c>
      <c r="F297" s="4"/>
    </row>
    <row r="298" spans="1:6" x14ac:dyDescent="0.2">
      <c r="A298" t="s">
        <v>684</v>
      </c>
      <c r="B298" t="s">
        <v>1</v>
      </c>
      <c r="C298" t="s">
        <v>2</v>
      </c>
      <c r="D298" t="s">
        <v>1</v>
      </c>
      <c r="E298" t="s">
        <v>31</v>
      </c>
      <c r="F298" s="4" t="s">
        <v>685</v>
      </c>
    </row>
    <row r="299" spans="1:6" x14ac:dyDescent="0.2">
      <c r="F299" s="4"/>
    </row>
    <row r="300" spans="1:6" x14ac:dyDescent="0.2">
      <c r="A300" s="1" t="s">
        <v>290</v>
      </c>
      <c r="F300" s="4"/>
    </row>
    <row r="301" spans="1:6" x14ac:dyDescent="0.2">
      <c r="A301" t="s">
        <v>191</v>
      </c>
      <c r="B301" t="s">
        <v>1</v>
      </c>
      <c r="C301" t="s">
        <v>1</v>
      </c>
      <c r="D301" t="s">
        <v>2</v>
      </c>
      <c r="E301" t="s">
        <v>87</v>
      </c>
      <c r="F301" s="4" t="s">
        <v>38</v>
      </c>
    </row>
    <row r="302" spans="1:6" x14ac:dyDescent="0.2">
      <c r="A302" t="s">
        <v>749</v>
      </c>
      <c r="B302" t="s">
        <v>1</v>
      </c>
      <c r="C302" t="s">
        <v>1</v>
      </c>
      <c r="D302" t="s">
        <v>2</v>
      </c>
      <c r="E302" t="s">
        <v>29</v>
      </c>
      <c r="F302" s="4" t="s">
        <v>725</v>
      </c>
    </row>
    <row r="303" spans="1:6" x14ac:dyDescent="0.2">
      <c r="F303" s="4"/>
    </row>
    <row r="304" spans="1:6" x14ac:dyDescent="0.2">
      <c r="A304" s="1" t="s">
        <v>612</v>
      </c>
      <c r="E304" s="4"/>
      <c r="F304" s="4"/>
    </row>
    <row r="305" spans="1:6" x14ac:dyDescent="0.2">
      <c r="A305" t="s">
        <v>613</v>
      </c>
      <c r="B305" t="s">
        <v>2</v>
      </c>
      <c r="C305" t="s">
        <v>2</v>
      </c>
      <c r="D305" t="s">
        <v>2</v>
      </c>
      <c r="E305" t="s">
        <v>614</v>
      </c>
      <c r="F305" s="4" t="s">
        <v>572</v>
      </c>
    </row>
    <row r="306" spans="1:6" x14ac:dyDescent="0.2">
      <c r="F306" s="4"/>
    </row>
    <row r="307" spans="1:6" x14ac:dyDescent="0.2">
      <c r="A307" t="s">
        <v>642</v>
      </c>
      <c r="F307" s="4"/>
    </row>
    <row r="308" spans="1:6" x14ac:dyDescent="0.2">
      <c r="A308" t="s">
        <v>643</v>
      </c>
      <c r="B308" t="s">
        <v>2</v>
      </c>
      <c r="C308" t="s">
        <v>2</v>
      </c>
      <c r="D308" t="s">
        <v>2</v>
      </c>
      <c r="E308" t="s">
        <v>31</v>
      </c>
      <c r="F308" s="4" t="s">
        <v>558</v>
      </c>
    </row>
    <row r="309" spans="1:6" x14ac:dyDescent="0.2">
      <c r="F309" s="4"/>
    </row>
    <row r="310" spans="1:6" x14ac:dyDescent="0.2">
      <c r="A310" s="1" t="s">
        <v>518</v>
      </c>
      <c r="F310" s="4"/>
    </row>
    <row r="311" spans="1:6" x14ac:dyDescent="0.2">
      <c r="A311" t="s">
        <v>489</v>
      </c>
      <c r="B311" t="s">
        <v>1</v>
      </c>
      <c r="C311" t="s">
        <v>2</v>
      </c>
      <c r="D311" t="s">
        <v>1</v>
      </c>
      <c r="E311" t="s">
        <v>31</v>
      </c>
      <c r="F311" s="4" t="s">
        <v>43</v>
      </c>
    </row>
    <row r="312" spans="1:6" x14ac:dyDescent="0.2">
      <c r="F312" s="4"/>
    </row>
    <row r="313" spans="1:6" x14ac:dyDescent="0.2">
      <c r="A313" s="1" t="s">
        <v>563</v>
      </c>
      <c r="F313" s="4"/>
    </row>
    <row r="314" spans="1:6" x14ac:dyDescent="0.2">
      <c r="A314" t="s">
        <v>564</v>
      </c>
      <c r="B314" t="s">
        <v>2</v>
      </c>
      <c r="C314" t="s">
        <v>2</v>
      </c>
      <c r="D314" t="s">
        <v>2</v>
      </c>
      <c r="E314" t="s">
        <v>31</v>
      </c>
      <c r="F314" s="4" t="s">
        <v>558</v>
      </c>
    </row>
    <row r="315" spans="1:6" x14ac:dyDescent="0.2">
      <c r="F315" s="4"/>
    </row>
    <row r="316" spans="1:6" x14ac:dyDescent="0.2">
      <c r="A316" s="1" t="s">
        <v>409</v>
      </c>
      <c r="E316" s="4"/>
      <c r="F316" s="4"/>
    </row>
    <row r="317" spans="1:6" x14ac:dyDescent="0.2">
      <c r="A317" t="s">
        <v>375</v>
      </c>
      <c r="B317" t="s">
        <v>1</v>
      </c>
      <c r="C317" t="s">
        <v>2</v>
      </c>
      <c r="D317" t="s">
        <v>2</v>
      </c>
      <c r="E317" s="4" t="s">
        <v>137</v>
      </c>
      <c r="F317" s="4" t="s">
        <v>138</v>
      </c>
    </row>
    <row r="318" spans="1:6" x14ac:dyDescent="0.2">
      <c r="A318" t="s">
        <v>672</v>
      </c>
      <c r="B318" t="s">
        <v>1</v>
      </c>
      <c r="C318" t="s">
        <v>2</v>
      </c>
      <c r="D318" t="s">
        <v>2</v>
      </c>
      <c r="E318" s="4" t="s">
        <v>673</v>
      </c>
      <c r="F318" s="4" t="s">
        <v>671</v>
      </c>
    </row>
    <row r="319" spans="1:6" x14ac:dyDescent="0.2">
      <c r="F319" s="4"/>
    </row>
    <row r="320" spans="1:6" x14ac:dyDescent="0.2">
      <c r="A320" s="1" t="s">
        <v>291</v>
      </c>
      <c r="F320" s="4"/>
    </row>
    <row r="321" spans="1:6" x14ac:dyDescent="0.2">
      <c r="A321" t="s">
        <v>192</v>
      </c>
      <c r="B321" t="s">
        <v>2</v>
      </c>
      <c r="C321" t="s">
        <v>2</v>
      </c>
      <c r="D321" t="s">
        <v>1</v>
      </c>
      <c r="E321" t="s">
        <v>31</v>
      </c>
      <c r="F321" s="4" t="s">
        <v>88</v>
      </c>
    </row>
    <row r="322" spans="1:6" x14ac:dyDescent="0.2">
      <c r="F322" s="4"/>
    </row>
    <row r="323" spans="1:6" x14ac:dyDescent="0.2">
      <c r="A323" s="1" t="s">
        <v>292</v>
      </c>
      <c r="F323" s="4"/>
    </row>
    <row r="324" spans="1:6" x14ac:dyDescent="0.2">
      <c r="A324" t="s">
        <v>193</v>
      </c>
      <c r="B324" t="s">
        <v>1</v>
      </c>
      <c r="C324" t="s">
        <v>1</v>
      </c>
      <c r="D324" t="s">
        <v>2</v>
      </c>
      <c r="E324" t="s">
        <v>750</v>
      </c>
      <c r="F324" s="4" t="s">
        <v>751</v>
      </c>
    </row>
    <row r="325" spans="1:6" x14ac:dyDescent="0.2">
      <c r="A325" t="s">
        <v>194</v>
      </c>
      <c r="B325" t="s">
        <v>1</v>
      </c>
      <c r="C325" t="s">
        <v>1</v>
      </c>
      <c r="D325" t="s">
        <v>2</v>
      </c>
      <c r="E325" t="s">
        <v>41</v>
      </c>
      <c r="F325" s="4" t="s">
        <v>38</v>
      </c>
    </row>
    <row r="326" spans="1:6" x14ac:dyDescent="0.2">
      <c r="F326" s="4"/>
    </row>
    <row r="327" spans="1:6" x14ac:dyDescent="0.2">
      <c r="A327" s="1" t="s">
        <v>626</v>
      </c>
      <c r="F327" s="4"/>
    </row>
    <row r="328" spans="1:6" x14ac:dyDescent="0.2">
      <c r="A328" t="s">
        <v>627</v>
      </c>
      <c r="B328" t="s">
        <v>2</v>
      </c>
      <c r="C328" t="s">
        <v>2</v>
      </c>
      <c r="D328" t="s">
        <v>2</v>
      </c>
      <c r="E328" t="s">
        <v>31</v>
      </c>
      <c r="F328" s="4" t="s">
        <v>616</v>
      </c>
    </row>
    <row r="329" spans="1:6" x14ac:dyDescent="0.2">
      <c r="F329" s="4"/>
    </row>
    <row r="330" spans="1:6" x14ac:dyDescent="0.2">
      <c r="A330" s="1" t="s">
        <v>628</v>
      </c>
      <c r="F330" s="4"/>
    </row>
    <row r="331" spans="1:6" ht="17" customHeight="1" x14ac:dyDescent="0.2">
      <c r="A331" t="s">
        <v>629</v>
      </c>
      <c r="B331" t="s">
        <v>2</v>
      </c>
      <c r="C331" t="s">
        <v>2</v>
      </c>
      <c r="D331" t="s">
        <v>2</v>
      </c>
      <c r="E331" t="s">
        <v>31</v>
      </c>
      <c r="F331" s="4" t="s">
        <v>616</v>
      </c>
    </row>
    <row r="332" spans="1:6" x14ac:dyDescent="0.2">
      <c r="F332" s="4"/>
    </row>
    <row r="333" spans="1:6" x14ac:dyDescent="0.2">
      <c r="A333" s="1" t="s">
        <v>293</v>
      </c>
      <c r="F333" s="4"/>
    </row>
    <row r="334" spans="1:6" x14ac:dyDescent="0.2">
      <c r="A334" t="s">
        <v>195</v>
      </c>
      <c r="B334" t="s">
        <v>1</v>
      </c>
      <c r="C334" t="s">
        <v>1</v>
      </c>
      <c r="D334" t="s">
        <v>2</v>
      </c>
      <c r="E334" t="s">
        <v>29</v>
      </c>
      <c r="F334" s="4" t="s">
        <v>64</v>
      </c>
    </row>
    <row r="335" spans="1:6" x14ac:dyDescent="0.2">
      <c r="A335" t="s">
        <v>196</v>
      </c>
      <c r="B335" t="s">
        <v>1</v>
      </c>
      <c r="C335" t="s">
        <v>1</v>
      </c>
      <c r="D335" t="s">
        <v>2</v>
      </c>
      <c r="E335" t="s">
        <v>29</v>
      </c>
      <c r="F335" s="4" t="s">
        <v>130</v>
      </c>
    </row>
    <row r="336" spans="1:6" x14ac:dyDescent="0.2">
      <c r="A336" t="s">
        <v>197</v>
      </c>
      <c r="B336" t="s">
        <v>1</v>
      </c>
      <c r="C336" t="s">
        <v>1</v>
      </c>
      <c r="D336" t="s">
        <v>2</v>
      </c>
      <c r="E336" t="s">
        <v>29</v>
      </c>
      <c r="F336" s="4" t="s">
        <v>130</v>
      </c>
    </row>
    <row r="337" spans="1:9" x14ac:dyDescent="0.2">
      <c r="F337" s="4"/>
    </row>
    <row r="338" spans="1:9" x14ac:dyDescent="0.2">
      <c r="A338" s="1" t="s">
        <v>459</v>
      </c>
      <c r="F338" s="4"/>
    </row>
    <row r="339" spans="1:9" x14ac:dyDescent="0.2">
      <c r="A339" t="s">
        <v>460</v>
      </c>
      <c r="B339" t="s">
        <v>1</v>
      </c>
      <c r="C339" t="s">
        <v>1</v>
      </c>
      <c r="D339" t="s">
        <v>2</v>
      </c>
      <c r="E339" t="s">
        <v>84</v>
      </c>
      <c r="F339" s="4" t="s">
        <v>123</v>
      </c>
    </row>
    <row r="340" spans="1:9" x14ac:dyDescent="0.2">
      <c r="A340" t="s">
        <v>461</v>
      </c>
      <c r="B340" t="s">
        <v>1</v>
      </c>
      <c r="C340" t="s">
        <v>2</v>
      </c>
      <c r="D340" t="s">
        <v>1</v>
      </c>
      <c r="E340" t="s">
        <v>31</v>
      </c>
      <c r="F340" s="4" t="s">
        <v>118</v>
      </c>
    </row>
    <row r="341" spans="1:9" x14ac:dyDescent="0.2">
      <c r="A341" t="s">
        <v>676</v>
      </c>
      <c r="B341" t="s">
        <v>1</v>
      </c>
      <c r="C341" t="s">
        <v>1</v>
      </c>
      <c r="D341" t="s">
        <v>2</v>
      </c>
      <c r="E341" t="s">
        <v>677</v>
      </c>
      <c r="F341" s="4" t="s">
        <v>678</v>
      </c>
    </row>
    <row r="342" spans="1:9" x14ac:dyDescent="0.2">
      <c r="F342" s="4"/>
    </row>
    <row r="343" spans="1:9" x14ac:dyDescent="0.2">
      <c r="A343" s="1" t="s">
        <v>581</v>
      </c>
      <c r="F343" s="4"/>
    </row>
    <row r="344" spans="1:9" x14ac:dyDescent="0.2">
      <c r="A344" t="s">
        <v>582</v>
      </c>
      <c r="B344" t="s">
        <v>1</v>
      </c>
      <c r="C344" t="s">
        <v>2</v>
      </c>
      <c r="D344" t="s">
        <v>2</v>
      </c>
      <c r="E344" t="s">
        <v>31</v>
      </c>
      <c r="F344" s="4" t="s">
        <v>558</v>
      </c>
    </row>
    <row r="345" spans="1:9" x14ac:dyDescent="0.2">
      <c r="F345" s="4"/>
    </row>
    <row r="346" spans="1:9" x14ac:dyDescent="0.2">
      <c r="A346" s="1" t="s">
        <v>294</v>
      </c>
      <c r="F346" s="4"/>
    </row>
    <row r="347" spans="1:9" x14ac:dyDescent="0.2">
      <c r="A347" t="s">
        <v>752</v>
      </c>
      <c r="B347" t="s">
        <v>1</v>
      </c>
      <c r="C347" t="s">
        <v>1</v>
      </c>
      <c r="D347" t="s">
        <v>2</v>
      </c>
      <c r="E347" t="s">
        <v>29</v>
      </c>
      <c r="F347" s="4" t="s">
        <v>725</v>
      </c>
    </row>
    <row r="348" spans="1:9" x14ac:dyDescent="0.2">
      <c r="A348" t="s">
        <v>753</v>
      </c>
      <c r="B348" t="s">
        <v>1</v>
      </c>
      <c r="C348" t="s">
        <v>1</v>
      </c>
      <c r="D348" t="s">
        <v>2</v>
      </c>
      <c r="E348" t="s">
        <v>29</v>
      </c>
      <c r="F348" s="4" t="s">
        <v>725</v>
      </c>
    </row>
    <row r="349" spans="1:9" x14ac:dyDescent="0.2">
      <c r="A349" t="s">
        <v>198</v>
      </c>
      <c r="B349" t="s">
        <v>1</v>
      </c>
      <c r="C349" t="s">
        <v>1</v>
      </c>
      <c r="D349" t="s">
        <v>2</v>
      </c>
      <c r="E349" t="s">
        <v>41</v>
      </c>
      <c r="F349" s="4" t="s">
        <v>38</v>
      </c>
    </row>
    <row r="350" spans="1:9" x14ac:dyDescent="0.2">
      <c r="A350" t="s">
        <v>199</v>
      </c>
      <c r="B350" t="s">
        <v>1</v>
      </c>
      <c r="C350" t="s">
        <v>1</v>
      </c>
      <c r="D350" t="s">
        <v>2</v>
      </c>
      <c r="E350" t="s">
        <v>41</v>
      </c>
      <c r="F350" s="4" t="s">
        <v>38</v>
      </c>
    </row>
    <row r="351" spans="1:9" x14ac:dyDescent="0.2">
      <c r="A351" t="s">
        <v>754</v>
      </c>
      <c r="B351" t="s">
        <v>1</v>
      </c>
      <c r="C351" t="s">
        <v>1</v>
      </c>
      <c r="D351" t="s">
        <v>2</v>
      </c>
      <c r="E351" t="s">
        <v>29</v>
      </c>
      <c r="F351" s="4" t="s">
        <v>725</v>
      </c>
    </row>
    <row r="352" spans="1:9" x14ac:dyDescent="0.2">
      <c r="F352" s="4"/>
      <c r="G352" s="1"/>
      <c r="H352" s="1"/>
      <c r="I352" s="1"/>
    </row>
    <row r="353" spans="1:6" x14ac:dyDescent="0.2">
      <c r="A353" s="1" t="s">
        <v>598</v>
      </c>
      <c r="F353" s="4"/>
    </row>
    <row r="354" spans="1:6" x14ac:dyDescent="0.2">
      <c r="A354" t="s">
        <v>599</v>
      </c>
      <c r="B354" t="s">
        <v>1</v>
      </c>
      <c r="C354" t="s">
        <v>2</v>
      </c>
      <c r="D354" t="s">
        <v>2</v>
      </c>
      <c r="E354" t="s">
        <v>31</v>
      </c>
      <c r="F354" s="4" t="s">
        <v>558</v>
      </c>
    </row>
    <row r="355" spans="1:6" x14ac:dyDescent="0.2">
      <c r="F355" s="4"/>
    </row>
    <row r="356" spans="1:6" x14ac:dyDescent="0.2">
      <c r="A356" s="1" t="s">
        <v>586</v>
      </c>
      <c r="F356" s="4"/>
    </row>
    <row r="357" spans="1:6" x14ac:dyDescent="0.2">
      <c r="A357" t="s">
        <v>587</v>
      </c>
      <c r="B357" t="s">
        <v>2</v>
      </c>
      <c r="C357" t="s">
        <v>2</v>
      </c>
      <c r="D357" t="s">
        <v>2</v>
      </c>
      <c r="E357" t="s">
        <v>31</v>
      </c>
      <c r="F357" s="4" t="s">
        <v>558</v>
      </c>
    </row>
    <row r="358" spans="1:6" x14ac:dyDescent="0.2">
      <c r="F358" s="4"/>
    </row>
    <row r="359" spans="1:6" x14ac:dyDescent="0.2">
      <c r="A359" s="1" t="s">
        <v>519</v>
      </c>
      <c r="F359" s="4"/>
    </row>
    <row r="360" spans="1:6" x14ac:dyDescent="0.2">
      <c r="A360" t="s">
        <v>490</v>
      </c>
      <c r="B360" t="s">
        <v>2</v>
      </c>
      <c r="C360" t="s">
        <v>2</v>
      </c>
      <c r="D360" t="s">
        <v>1</v>
      </c>
      <c r="E360" t="s">
        <v>31</v>
      </c>
      <c r="F360" s="4" t="s">
        <v>89</v>
      </c>
    </row>
    <row r="361" spans="1:6" x14ac:dyDescent="0.2">
      <c r="A361" t="s">
        <v>491</v>
      </c>
      <c r="B361" t="s">
        <v>1</v>
      </c>
      <c r="C361" t="s">
        <v>2</v>
      </c>
      <c r="D361" t="s">
        <v>1</v>
      </c>
      <c r="E361" t="s">
        <v>31</v>
      </c>
      <c r="F361" s="4" t="s">
        <v>90</v>
      </c>
    </row>
    <row r="362" spans="1:6" x14ac:dyDescent="0.2">
      <c r="A362" t="s">
        <v>492</v>
      </c>
      <c r="B362" t="s">
        <v>1</v>
      </c>
      <c r="C362" t="s">
        <v>1</v>
      </c>
      <c r="D362" t="s">
        <v>2</v>
      </c>
      <c r="E362" t="s">
        <v>29</v>
      </c>
      <c r="F362" s="5" t="s">
        <v>93</v>
      </c>
    </row>
    <row r="363" spans="1:6" x14ac:dyDescent="0.2">
      <c r="A363" t="s">
        <v>493</v>
      </c>
      <c r="B363" t="s">
        <v>1</v>
      </c>
      <c r="C363" t="s">
        <v>2</v>
      </c>
      <c r="D363" t="s">
        <v>1</v>
      </c>
      <c r="E363" t="s">
        <v>31</v>
      </c>
      <c r="F363" s="4" t="s">
        <v>89</v>
      </c>
    </row>
    <row r="364" spans="1:6" x14ac:dyDescent="0.2">
      <c r="A364" t="s">
        <v>494</v>
      </c>
      <c r="B364" t="s">
        <v>1</v>
      </c>
      <c r="C364" t="s">
        <v>1</v>
      </c>
      <c r="D364" t="s">
        <v>2</v>
      </c>
      <c r="E364" t="s">
        <v>54</v>
      </c>
      <c r="F364" s="4" t="s">
        <v>91</v>
      </c>
    </row>
    <row r="365" spans="1:6" x14ac:dyDescent="0.2">
      <c r="A365" t="s">
        <v>495</v>
      </c>
      <c r="B365" t="s">
        <v>1</v>
      </c>
      <c r="C365" t="s">
        <v>1</v>
      </c>
      <c r="D365" t="s">
        <v>2</v>
      </c>
      <c r="E365" s="4" t="s">
        <v>92</v>
      </c>
      <c r="F365" s="4" t="s">
        <v>46</v>
      </c>
    </row>
    <row r="366" spans="1:6" x14ac:dyDescent="0.2">
      <c r="A366" t="s">
        <v>496</v>
      </c>
      <c r="B366" t="s">
        <v>2</v>
      </c>
      <c r="C366" t="s">
        <v>2</v>
      </c>
      <c r="D366" t="s">
        <v>1</v>
      </c>
      <c r="E366" t="s">
        <v>31</v>
      </c>
      <c r="F366" s="4" t="s">
        <v>89</v>
      </c>
    </row>
    <row r="367" spans="1:6" x14ac:dyDescent="0.2">
      <c r="A367" t="s">
        <v>634</v>
      </c>
      <c r="B367" t="s">
        <v>2</v>
      </c>
      <c r="C367" t="s">
        <v>2</v>
      </c>
      <c r="D367" t="s">
        <v>2</v>
      </c>
      <c r="E367" t="s">
        <v>31</v>
      </c>
      <c r="F367" s="4" t="s">
        <v>558</v>
      </c>
    </row>
    <row r="368" spans="1:6" x14ac:dyDescent="0.2">
      <c r="F368" s="4"/>
    </row>
    <row r="369" spans="1:6" x14ac:dyDescent="0.2">
      <c r="A369" s="1" t="s">
        <v>424</v>
      </c>
      <c r="F369" s="4"/>
    </row>
    <row r="370" spans="1:6" x14ac:dyDescent="0.2">
      <c r="A370" t="s">
        <v>425</v>
      </c>
      <c r="B370" t="s">
        <v>1</v>
      </c>
      <c r="C370" t="s">
        <v>2</v>
      </c>
      <c r="D370" t="s">
        <v>1</v>
      </c>
      <c r="E370" t="s">
        <v>31</v>
      </c>
      <c r="F370" s="4" t="s">
        <v>43</v>
      </c>
    </row>
    <row r="371" spans="1:6" x14ac:dyDescent="0.2">
      <c r="F371" s="4"/>
    </row>
    <row r="372" spans="1:6" x14ac:dyDescent="0.2">
      <c r="A372" t="s">
        <v>755</v>
      </c>
      <c r="F372" s="4"/>
    </row>
    <row r="373" spans="1:6" x14ac:dyDescent="0.2">
      <c r="A373" t="s">
        <v>756</v>
      </c>
      <c r="B373" t="s">
        <v>1</v>
      </c>
      <c r="C373" t="s">
        <v>1</v>
      </c>
      <c r="D373" t="s">
        <v>2</v>
      </c>
      <c r="E373" t="s">
        <v>84</v>
      </c>
      <c r="F373" s="4" t="s">
        <v>725</v>
      </c>
    </row>
    <row r="374" spans="1:6" x14ac:dyDescent="0.2">
      <c r="F374" s="4"/>
    </row>
    <row r="375" spans="1:6" x14ac:dyDescent="0.2">
      <c r="A375" s="1" t="s">
        <v>429</v>
      </c>
      <c r="F375" s="4"/>
    </row>
    <row r="376" spans="1:6" x14ac:dyDescent="0.2">
      <c r="A376" t="s">
        <v>428</v>
      </c>
      <c r="B376" t="s">
        <v>1</v>
      </c>
      <c r="C376" t="s">
        <v>1</v>
      </c>
      <c r="D376" t="s">
        <v>2</v>
      </c>
      <c r="E376" t="s">
        <v>29</v>
      </c>
      <c r="F376" s="5" t="s">
        <v>44</v>
      </c>
    </row>
    <row r="377" spans="1:6" x14ac:dyDescent="0.2">
      <c r="F377" s="4"/>
    </row>
    <row r="378" spans="1:6" x14ac:dyDescent="0.2">
      <c r="A378" s="1" t="s">
        <v>356</v>
      </c>
      <c r="F378" s="4"/>
    </row>
    <row r="379" spans="1:6" x14ac:dyDescent="0.2">
      <c r="A379" t="s">
        <v>343</v>
      </c>
      <c r="B379" t="s">
        <v>1</v>
      </c>
      <c r="C379" t="s">
        <v>2</v>
      </c>
      <c r="D379" t="s">
        <v>2</v>
      </c>
      <c r="E379" t="s">
        <v>31</v>
      </c>
      <c r="F379" s="4" t="s">
        <v>594</v>
      </c>
    </row>
    <row r="380" spans="1:6" x14ac:dyDescent="0.2">
      <c r="A380" t="s">
        <v>595</v>
      </c>
      <c r="B380" t="s">
        <v>2</v>
      </c>
      <c r="C380" t="s">
        <v>2</v>
      </c>
      <c r="D380" t="s">
        <v>2</v>
      </c>
      <c r="E380" t="s">
        <v>31</v>
      </c>
      <c r="F380" s="4" t="s">
        <v>558</v>
      </c>
    </row>
    <row r="381" spans="1:6" x14ac:dyDescent="0.2">
      <c r="F381" s="4"/>
    </row>
    <row r="382" spans="1:6" x14ac:dyDescent="0.2">
      <c r="A382" s="1" t="s">
        <v>295</v>
      </c>
      <c r="F382" s="4"/>
    </row>
    <row r="383" spans="1:6" x14ac:dyDescent="0.2">
      <c r="A383" t="s">
        <v>200</v>
      </c>
      <c r="B383" t="s">
        <v>1</v>
      </c>
      <c r="C383" t="s">
        <v>1</v>
      </c>
      <c r="D383" t="s">
        <v>2</v>
      </c>
      <c r="E383" t="s">
        <v>96</v>
      </c>
      <c r="F383" s="4" t="s">
        <v>38</v>
      </c>
    </row>
    <row r="384" spans="1:6" x14ac:dyDescent="0.2">
      <c r="F384" s="4"/>
    </row>
    <row r="385" spans="1:6" x14ac:dyDescent="0.2">
      <c r="A385" s="1" t="s">
        <v>296</v>
      </c>
      <c r="F385" s="4"/>
    </row>
    <row r="386" spans="1:6" x14ac:dyDescent="0.2">
      <c r="A386" t="s">
        <v>201</v>
      </c>
      <c r="B386" t="s">
        <v>1</v>
      </c>
      <c r="C386" t="s">
        <v>1</v>
      </c>
      <c r="D386" t="s">
        <v>2</v>
      </c>
      <c r="E386" t="s">
        <v>29</v>
      </c>
      <c r="F386" s="4" t="s">
        <v>64</v>
      </c>
    </row>
    <row r="387" spans="1:6" x14ac:dyDescent="0.2">
      <c r="F387" s="4"/>
    </row>
    <row r="388" spans="1:6" x14ac:dyDescent="0.2">
      <c r="A388" t="s">
        <v>727</v>
      </c>
      <c r="F388" s="4"/>
    </row>
    <row r="389" spans="1:6" x14ac:dyDescent="0.2">
      <c r="A389" t="s">
        <v>728</v>
      </c>
      <c r="B389" t="s">
        <v>1</v>
      </c>
      <c r="C389" t="s">
        <v>1</v>
      </c>
      <c r="D389" t="s">
        <v>2</v>
      </c>
      <c r="E389" t="s">
        <v>724</v>
      </c>
      <c r="F389" s="4" t="s">
        <v>725</v>
      </c>
    </row>
    <row r="390" spans="1:6" x14ac:dyDescent="0.2">
      <c r="F390" s="4"/>
    </row>
    <row r="391" spans="1:6" x14ac:dyDescent="0.2">
      <c r="A391" s="1" t="s">
        <v>357</v>
      </c>
      <c r="F391" s="4"/>
    </row>
    <row r="392" spans="1:6" x14ac:dyDescent="0.2">
      <c r="A392" t="s">
        <v>344</v>
      </c>
      <c r="B392" t="s">
        <v>1</v>
      </c>
      <c r="C392" t="s">
        <v>2</v>
      </c>
      <c r="D392" t="s">
        <v>2</v>
      </c>
      <c r="E392" t="s">
        <v>31</v>
      </c>
      <c r="F392" s="4" t="s">
        <v>597</v>
      </c>
    </row>
    <row r="393" spans="1:6" x14ac:dyDescent="0.2">
      <c r="F393" s="4"/>
    </row>
    <row r="394" spans="1:6" x14ac:dyDescent="0.2">
      <c r="A394" s="1" t="s">
        <v>358</v>
      </c>
      <c r="F394" s="4"/>
    </row>
    <row r="395" spans="1:6" x14ac:dyDescent="0.2">
      <c r="A395" t="s">
        <v>345</v>
      </c>
      <c r="B395" t="s">
        <v>1</v>
      </c>
      <c r="C395" t="s">
        <v>2</v>
      </c>
      <c r="D395" t="s">
        <v>1</v>
      </c>
      <c r="E395" t="s">
        <v>31</v>
      </c>
      <c r="F395" s="4" t="s">
        <v>97</v>
      </c>
    </row>
    <row r="396" spans="1:6" x14ac:dyDescent="0.2">
      <c r="F396" s="4"/>
    </row>
    <row r="397" spans="1:6" x14ac:dyDescent="0.2">
      <c r="A397" s="1" t="s">
        <v>600</v>
      </c>
      <c r="F397" s="4"/>
    </row>
    <row r="398" spans="1:6" x14ac:dyDescent="0.2">
      <c r="A398" t="s">
        <v>601</v>
      </c>
      <c r="B398" t="s">
        <v>1</v>
      </c>
      <c r="C398" t="s">
        <v>2</v>
      </c>
      <c r="D398" t="s">
        <v>2</v>
      </c>
      <c r="E398" t="s">
        <v>2</v>
      </c>
      <c r="F398" s="4" t="s">
        <v>558</v>
      </c>
    </row>
    <row r="399" spans="1:6" x14ac:dyDescent="0.2">
      <c r="F399" s="4"/>
    </row>
    <row r="400" spans="1:6" x14ac:dyDescent="0.2">
      <c r="A400" s="1" t="s">
        <v>202</v>
      </c>
      <c r="F400" s="4"/>
    </row>
    <row r="401" spans="1:6" x14ac:dyDescent="0.2">
      <c r="A401" t="s">
        <v>203</v>
      </c>
      <c r="B401" t="s">
        <v>1</v>
      </c>
      <c r="C401" t="s">
        <v>1</v>
      </c>
      <c r="D401" t="s">
        <v>2</v>
      </c>
      <c r="E401" t="s">
        <v>45</v>
      </c>
      <c r="F401" s="4" t="s">
        <v>120</v>
      </c>
    </row>
    <row r="402" spans="1:6" x14ac:dyDescent="0.2">
      <c r="A402" t="s">
        <v>204</v>
      </c>
      <c r="B402" t="s">
        <v>1</v>
      </c>
      <c r="C402" t="s">
        <v>1</v>
      </c>
      <c r="D402" t="s">
        <v>2</v>
      </c>
      <c r="E402" t="s">
        <v>654</v>
      </c>
      <c r="F402" s="4" t="s">
        <v>35</v>
      </c>
    </row>
    <row r="403" spans="1:6" x14ac:dyDescent="0.2">
      <c r="F403" s="4"/>
    </row>
    <row r="404" spans="1:6" x14ac:dyDescent="0.2">
      <c r="A404" s="1" t="s">
        <v>297</v>
      </c>
      <c r="B404" s="1"/>
      <c r="C404" s="1"/>
      <c r="D404" s="1"/>
      <c r="F404" s="4"/>
    </row>
    <row r="405" spans="1:6" x14ac:dyDescent="0.2">
      <c r="A405" t="s">
        <v>205</v>
      </c>
      <c r="B405" t="s">
        <v>1</v>
      </c>
      <c r="C405" t="s">
        <v>2</v>
      </c>
      <c r="D405" t="s">
        <v>1</v>
      </c>
      <c r="E405" t="s">
        <v>31</v>
      </c>
      <c r="F405" s="4" t="s">
        <v>98</v>
      </c>
    </row>
    <row r="406" spans="1:6" x14ac:dyDescent="0.2">
      <c r="F406" s="4"/>
    </row>
    <row r="407" spans="1:6" x14ac:dyDescent="0.2">
      <c r="A407" s="1" t="s">
        <v>497</v>
      </c>
      <c r="F407" s="4"/>
    </row>
    <row r="408" spans="1:6" x14ac:dyDescent="0.2">
      <c r="A408" t="s">
        <v>498</v>
      </c>
      <c r="B408" t="s">
        <v>1</v>
      </c>
      <c r="C408" t="s">
        <v>1</v>
      </c>
      <c r="D408" t="s">
        <v>2</v>
      </c>
      <c r="E408" t="s">
        <v>39</v>
      </c>
      <c r="F408" s="4" t="s">
        <v>49</v>
      </c>
    </row>
    <row r="409" spans="1:6" x14ac:dyDescent="0.2">
      <c r="F409" s="4"/>
    </row>
    <row r="410" spans="1:6" x14ac:dyDescent="0.2">
      <c r="A410" s="1" t="s">
        <v>323</v>
      </c>
      <c r="F410" s="4"/>
    </row>
    <row r="411" spans="1:6" x14ac:dyDescent="0.2">
      <c r="A411" t="s">
        <v>322</v>
      </c>
      <c r="B411" t="s">
        <v>1</v>
      </c>
      <c r="C411" t="s">
        <v>2</v>
      </c>
      <c r="D411" t="s">
        <v>1</v>
      </c>
      <c r="E411" t="s">
        <v>31</v>
      </c>
      <c r="F411" s="4" t="s">
        <v>99</v>
      </c>
    </row>
    <row r="412" spans="1:6" x14ac:dyDescent="0.2">
      <c r="F412" s="4"/>
    </row>
    <row r="413" spans="1:6" x14ac:dyDescent="0.2">
      <c r="A413" s="1" t="s">
        <v>298</v>
      </c>
      <c r="F413" s="4"/>
    </row>
    <row r="414" spans="1:6" x14ac:dyDescent="0.2">
      <c r="A414" t="s">
        <v>206</v>
      </c>
      <c r="B414" t="s">
        <v>1</v>
      </c>
      <c r="C414" t="s">
        <v>2</v>
      </c>
      <c r="D414" t="s">
        <v>2</v>
      </c>
      <c r="E414" t="s">
        <v>31</v>
      </c>
      <c r="F414" s="4" t="s">
        <v>42</v>
      </c>
    </row>
    <row r="415" spans="1:6" x14ac:dyDescent="0.2">
      <c r="F415" s="4"/>
    </row>
    <row r="416" spans="1:6" x14ac:dyDescent="0.2">
      <c r="A416" s="1" t="s">
        <v>722</v>
      </c>
      <c r="F416" s="4"/>
    </row>
    <row r="417" spans="1:6" x14ac:dyDescent="0.2">
      <c r="A417" t="s">
        <v>723</v>
      </c>
      <c r="B417" t="s">
        <v>1</v>
      </c>
      <c r="C417" t="s">
        <v>1</v>
      </c>
      <c r="D417" t="s">
        <v>2</v>
      </c>
      <c r="E417" t="s">
        <v>724</v>
      </c>
      <c r="F417" s="4" t="s">
        <v>725</v>
      </c>
    </row>
    <row r="418" spans="1:6" x14ac:dyDescent="0.2">
      <c r="F418" s="4"/>
    </row>
    <row r="419" spans="1:6" x14ac:dyDescent="0.2">
      <c r="A419" s="1" t="s">
        <v>299</v>
      </c>
      <c r="F419" s="4"/>
    </row>
    <row r="420" spans="1:6" x14ac:dyDescent="0.2">
      <c r="A420" t="s">
        <v>207</v>
      </c>
      <c r="B420" t="s">
        <v>1</v>
      </c>
      <c r="C420" t="s">
        <v>1</v>
      </c>
      <c r="D420" t="s">
        <v>2</v>
      </c>
      <c r="E420" t="s">
        <v>39</v>
      </c>
      <c r="F420" s="4" t="s">
        <v>57</v>
      </c>
    </row>
    <row r="421" spans="1:6" x14ac:dyDescent="0.2">
      <c r="A421" t="s">
        <v>208</v>
      </c>
      <c r="B421" t="s">
        <v>2</v>
      </c>
      <c r="C421" t="s">
        <v>2</v>
      </c>
      <c r="D421" t="s">
        <v>1</v>
      </c>
      <c r="E421" t="s">
        <v>31</v>
      </c>
      <c r="F421" s="4" t="s">
        <v>67</v>
      </c>
    </row>
    <row r="422" spans="1:6" x14ac:dyDescent="0.2">
      <c r="A422" t="s">
        <v>209</v>
      </c>
      <c r="B422" t="s">
        <v>1</v>
      </c>
      <c r="C422" t="s">
        <v>2</v>
      </c>
      <c r="D422" t="s">
        <v>1</v>
      </c>
      <c r="E422" t="s">
        <v>31</v>
      </c>
      <c r="F422" s="4" t="s">
        <v>79</v>
      </c>
    </row>
    <row r="423" spans="1:6" x14ac:dyDescent="0.2">
      <c r="A423" t="s">
        <v>210</v>
      </c>
      <c r="B423" t="s">
        <v>1</v>
      </c>
      <c r="C423" t="s">
        <v>1</v>
      </c>
      <c r="D423" t="s">
        <v>2</v>
      </c>
      <c r="E423" t="s">
        <v>45</v>
      </c>
      <c r="F423" s="4" t="s">
        <v>120</v>
      </c>
    </row>
    <row r="424" spans="1:6" x14ac:dyDescent="0.2">
      <c r="A424" t="s">
        <v>211</v>
      </c>
      <c r="B424" t="s">
        <v>1</v>
      </c>
      <c r="C424" t="s">
        <v>2</v>
      </c>
      <c r="D424" t="s">
        <v>1</v>
      </c>
      <c r="E424" t="s">
        <v>31</v>
      </c>
      <c r="F424" s="4" t="s">
        <v>55</v>
      </c>
    </row>
    <row r="425" spans="1:6" x14ac:dyDescent="0.2">
      <c r="A425" t="s">
        <v>212</v>
      </c>
      <c r="B425" t="s">
        <v>2</v>
      </c>
      <c r="C425" t="s">
        <v>2</v>
      </c>
      <c r="D425" t="s">
        <v>2</v>
      </c>
      <c r="E425" t="s">
        <v>31</v>
      </c>
      <c r="F425" s="5" t="s">
        <v>74</v>
      </c>
    </row>
    <row r="426" spans="1:6" x14ac:dyDescent="0.2">
      <c r="A426" t="s">
        <v>213</v>
      </c>
      <c r="B426" t="s">
        <v>1</v>
      </c>
      <c r="C426" t="s">
        <v>2</v>
      </c>
      <c r="D426" t="s">
        <v>1</v>
      </c>
      <c r="E426" t="s">
        <v>31</v>
      </c>
      <c r="F426" s="4" t="s">
        <v>88</v>
      </c>
    </row>
    <row r="427" spans="1:6" x14ac:dyDescent="0.2">
      <c r="A427" t="s">
        <v>214</v>
      </c>
      <c r="B427" t="s">
        <v>2</v>
      </c>
      <c r="C427" t="s">
        <v>2</v>
      </c>
      <c r="D427" t="s">
        <v>1</v>
      </c>
      <c r="E427" t="s">
        <v>31</v>
      </c>
      <c r="F427" s="4" t="s">
        <v>67</v>
      </c>
    </row>
    <row r="428" spans="1:6" x14ac:dyDescent="0.2">
      <c r="F428" s="4"/>
    </row>
    <row r="429" spans="1:6" x14ac:dyDescent="0.2">
      <c r="A429" s="1" t="s">
        <v>410</v>
      </c>
      <c r="F429" s="4"/>
    </row>
    <row r="430" spans="1:6" x14ac:dyDescent="0.2">
      <c r="A430" t="s">
        <v>376</v>
      </c>
      <c r="B430" t="s">
        <v>1</v>
      </c>
      <c r="C430" t="s">
        <v>2</v>
      </c>
      <c r="D430" t="s">
        <v>2</v>
      </c>
      <c r="E430" s="4" t="s">
        <v>60</v>
      </c>
      <c r="F430" s="4" t="s">
        <v>61</v>
      </c>
    </row>
    <row r="431" spans="1:6" x14ac:dyDescent="0.2">
      <c r="A431" t="s">
        <v>377</v>
      </c>
      <c r="B431" t="s">
        <v>1</v>
      </c>
      <c r="C431" t="s">
        <v>2</v>
      </c>
      <c r="D431" t="s">
        <v>2</v>
      </c>
      <c r="E431" s="4" t="s">
        <v>137</v>
      </c>
      <c r="F431" s="4" t="s">
        <v>138</v>
      </c>
    </row>
    <row r="432" spans="1:6" x14ac:dyDescent="0.2">
      <c r="A432" t="s">
        <v>378</v>
      </c>
      <c r="B432" t="s">
        <v>1</v>
      </c>
      <c r="C432" t="s">
        <v>2</v>
      </c>
      <c r="D432" t="s">
        <v>2</v>
      </c>
      <c r="E432" s="4" t="s">
        <v>137</v>
      </c>
      <c r="F432" s="4" t="s">
        <v>138</v>
      </c>
    </row>
    <row r="433" spans="1:6" x14ac:dyDescent="0.2">
      <c r="F433" s="4"/>
    </row>
    <row r="434" spans="1:6" x14ac:dyDescent="0.2">
      <c r="A434" s="1" t="s">
        <v>411</v>
      </c>
      <c r="F434" s="4"/>
    </row>
    <row r="435" spans="1:6" x14ac:dyDescent="0.2">
      <c r="A435" t="s">
        <v>379</v>
      </c>
      <c r="B435" t="s">
        <v>2</v>
      </c>
      <c r="C435" t="s">
        <v>2</v>
      </c>
      <c r="D435" t="s">
        <v>2</v>
      </c>
      <c r="E435" t="s">
        <v>31</v>
      </c>
      <c r="F435" s="5" t="s">
        <v>78</v>
      </c>
    </row>
    <row r="436" spans="1:6" x14ac:dyDescent="0.2">
      <c r="F436" s="4"/>
    </row>
    <row r="437" spans="1:6" x14ac:dyDescent="0.2">
      <c r="A437" s="1" t="s">
        <v>659</v>
      </c>
      <c r="F437" s="4"/>
    </row>
    <row r="438" spans="1:6" x14ac:dyDescent="0.2">
      <c r="A438" t="s">
        <v>660</v>
      </c>
      <c r="B438" t="s">
        <v>1</v>
      </c>
      <c r="C438" t="s">
        <v>2</v>
      </c>
      <c r="D438" t="s">
        <v>1</v>
      </c>
      <c r="E438" t="s">
        <v>31</v>
      </c>
      <c r="F438" s="4" t="s">
        <v>661</v>
      </c>
    </row>
    <row r="439" spans="1:6" x14ac:dyDescent="0.2">
      <c r="F439" s="4"/>
    </row>
    <row r="440" spans="1:6" x14ac:dyDescent="0.2">
      <c r="A440" s="1" t="s">
        <v>300</v>
      </c>
      <c r="F440" s="4"/>
    </row>
    <row r="441" spans="1:6" x14ac:dyDescent="0.2">
      <c r="A441" t="s">
        <v>758</v>
      </c>
      <c r="B441" t="s">
        <v>1</v>
      </c>
      <c r="C441" t="s">
        <v>1</v>
      </c>
      <c r="D441" t="s">
        <v>2</v>
      </c>
      <c r="E441" t="s">
        <v>29</v>
      </c>
      <c r="F441" s="4" t="s">
        <v>725</v>
      </c>
    </row>
    <row r="442" spans="1:6" x14ac:dyDescent="0.2">
      <c r="A442" t="s">
        <v>215</v>
      </c>
      <c r="B442" t="s">
        <v>1</v>
      </c>
      <c r="C442" t="s">
        <v>1</v>
      </c>
      <c r="D442" t="s">
        <v>2</v>
      </c>
      <c r="E442" t="s">
        <v>29</v>
      </c>
      <c r="F442" s="4" t="s">
        <v>64</v>
      </c>
    </row>
    <row r="443" spans="1:6" x14ac:dyDescent="0.2">
      <c r="A443" t="s">
        <v>216</v>
      </c>
      <c r="B443" t="s">
        <v>1</v>
      </c>
      <c r="C443" t="s">
        <v>1</v>
      </c>
      <c r="D443" t="s">
        <v>2</v>
      </c>
      <c r="E443" t="s">
        <v>29</v>
      </c>
      <c r="F443" s="4" t="s">
        <v>64</v>
      </c>
    </row>
    <row r="444" spans="1:6" x14ac:dyDescent="0.2">
      <c r="A444" t="s">
        <v>217</v>
      </c>
      <c r="B444" t="s">
        <v>1</v>
      </c>
      <c r="C444" t="s">
        <v>1</v>
      </c>
      <c r="D444" t="s">
        <v>2</v>
      </c>
      <c r="E444" t="s">
        <v>29</v>
      </c>
      <c r="F444" s="4" t="s">
        <v>64</v>
      </c>
    </row>
    <row r="445" spans="1:6" x14ac:dyDescent="0.2">
      <c r="A445" t="s">
        <v>759</v>
      </c>
      <c r="B445" t="s">
        <v>1</v>
      </c>
      <c r="C445" t="s">
        <v>1</v>
      </c>
      <c r="D445" t="s">
        <v>2</v>
      </c>
      <c r="E445" t="s">
        <v>29</v>
      </c>
      <c r="F445" s="4" t="s">
        <v>725</v>
      </c>
    </row>
    <row r="446" spans="1:6" x14ac:dyDescent="0.2">
      <c r="A446" t="s">
        <v>218</v>
      </c>
      <c r="B446" t="s">
        <v>1</v>
      </c>
      <c r="C446" t="s">
        <v>1</v>
      </c>
      <c r="D446" t="s">
        <v>2</v>
      </c>
      <c r="E446" t="s">
        <v>96</v>
      </c>
      <c r="F446" s="4" t="s">
        <v>38</v>
      </c>
    </row>
    <row r="447" spans="1:6" x14ac:dyDescent="0.2">
      <c r="A447" t="s">
        <v>760</v>
      </c>
      <c r="B447" t="s">
        <v>2</v>
      </c>
      <c r="C447" t="s">
        <v>2</v>
      </c>
      <c r="D447" t="s">
        <v>2</v>
      </c>
      <c r="E447" t="s">
        <v>31</v>
      </c>
      <c r="F447" s="4" t="s">
        <v>725</v>
      </c>
    </row>
    <row r="448" spans="1:6" x14ac:dyDescent="0.2">
      <c r="A448" t="s">
        <v>219</v>
      </c>
      <c r="B448" t="s">
        <v>1</v>
      </c>
      <c r="C448" t="s">
        <v>1</v>
      </c>
      <c r="D448" t="s">
        <v>2</v>
      </c>
      <c r="E448" t="s">
        <v>54</v>
      </c>
      <c r="F448" s="4" t="s">
        <v>100</v>
      </c>
    </row>
    <row r="449" spans="1:6" x14ac:dyDescent="0.2">
      <c r="A449" t="s">
        <v>220</v>
      </c>
      <c r="B449" t="s">
        <v>1</v>
      </c>
      <c r="C449" t="s">
        <v>1</v>
      </c>
      <c r="D449" t="s">
        <v>2</v>
      </c>
      <c r="E449" t="s">
        <v>29</v>
      </c>
      <c r="F449" s="4" t="s">
        <v>130</v>
      </c>
    </row>
    <row r="450" spans="1:6" x14ac:dyDescent="0.2">
      <c r="A450" t="s">
        <v>645</v>
      </c>
      <c r="B450" t="s">
        <v>2</v>
      </c>
      <c r="C450" t="s">
        <v>2</v>
      </c>
      <c r="D450" t="s">
        <v>2</v>
      </c>
      <c r="E450" t="s">
        <v>31</v>
      </c>
      <c r="F450" s="4" t="s">
        <v>558</v>
      </c>
    </row>
    <row r="451" spans="1:6" x14ac:dyDescent="0.2">
      <c r="A451" t="s">
        <v>221</v>
      </c>
      <c r="B451" t="s">
        <v>1</v>
      </c>
      <c r="C451" t="s">
        <v>1</v>
      </c>
      <c r="D451" t="s">
        <v>2</v>
      </c>
      <c r="E451" t="s">
        <v>41</v>
      </c>
      <c r="F451" s="4" t="s">
        <v>38</v>
      </c>
    </row>
    <row r="452" spans="1:6" x14ac:dyDescent="0.2">
      <c r="F452" s="4"/>
    </row>
    <row r="453" spans="1:6" x14ac:dyDescent="0.2">
      <c r="A453" s="1" t="s">
        <v>222</v>
      </c>
      <c r="F453" s="4"/>
    </row>
    <row r="454" spans="1:6" x14ac:dyDescent="0.2">
      <c r="A454" t="s">
        <v>223</v>
      </c>
      <c r="B454" t="s">
        <v>2</v>
      </c>
      <c r="C454" t="s">
        <v>2</v>
      </c>
      <c r="D454" t="s">
        <v>1</v>
      </c>
      <c r="E454" t="s">
        <v>31</v>
      </c>
      <c r="F454" s="4" t="s">
        <v>67</v>
      </c>
    </row>
    <row r="455" spans="1:6" x14ac:dyDescent="0.2">
      <c r="F455" s="4"/>
    </row>
    <row r="456" spans="1:6" x14ac:dyDescent="0.2">
      <c r="A456" s="1" t="s">
        <v>359</v>
      </c>
      <c r="F456" s="4"/>
    </row>
    <row r="457" spans="1:6" x14ac:dyDescent="0.2">
      <c r="A457" t="s">
        <v>584</v>
      </c>
      <c r="B457" t="s">
        <v>1</v>
      </c>
      <c r="C457" t="s">
        <v>2</v>
      </c>
      <c r="D457" t="s">
        <v>2</v>
      </c>
      <c r="E457" t="s">
        <v>31</v>
      </c>
      <c r="F457" s="4" t="s">
        <v>558</v>
      </c>
    </row>
    <row r="458" spans="1:6" x14ac:dyDescent="0.2">
      <c r="A458" t="s">
        <v>346</v>
      </c>
      <c r="B458" t="s">
        <v>1</v>
      </c>
      <c r="C458" t="s">
        <v>1</v>
      </c>
      <c r="D458" t="s">
        <v>2</v>
      </c>
      <c r="E458" t="s">
        <v>101</v>
      </c>
      <c r="F458" s="4" t="s">
        <v>102</v>
      </c>
    </row>
    <row r="459" spans="1:6" x14ac:dyDescent="0.2">
      <c r="A459" t="s">
        <v>347</v>
      </c>
      <c r="B459" t="s">
        <v>2</v>
      </c>
      <c r="C459" t="s">
        <v>2</v>
      </c>
      <c r="D459" t="s">
        <v>1</v>
      </c>
      <c r="E459" t="s">
        <v>31</v>
      </c>
      <c r="F459" s="4" t="s">
        <v>105</v>
      </c>
    </row>
    <row r="460" spans="1:6" x14ac:dyDescent="0.2">
      <c r="A460" t="s">
        <v>348</v>
      </c>
      <c r="B460" t="s">
        <v>1</v>
      </c>
      <c r="C460" t="s">
        <v>2</v>
      </c>
      <c r="D460" t="s">
        <v>1</v>
      </c>
      <c r="E460" t="s">
        <v>31</v>
      </c>
      <c r="F460" s="4" t="s">
        <v>104</v>
      </c>
    </row>
    <row r="461" spans="1:6" x14ac:dyDescent="0.2">
      <c r="F461" s="4"/>
    </row>
    <row r="462" spans="1:6" x14ac:dyDescent="0.2">
      <c r="A462" s="1" t="s">
        <v>301</v>
      </c>
      <c r="F462" s="4"/>
    </row>
    <row r="463" spans="1:6" x14ac:dyDescent="0.2">
      <c r="A463" t="s">
        <v>224</v>
      </c>
      <c r="B463" t="s">
        <v>1</v>
      </c>
      <c r="C463" t="s">
        <v>1</v>
      </c>
      <c r="D463" t="s">
        <v>2</v>
      </c>
      <c r="E463" t="s">
        <v>29</v>
      </c>
      <c r="F463" s="4" t="s">
        <v>74</v>
      </c>
    </row>
    <row r="464" spans="1:6" x14ac:dyDescent="0.2">
      <c r="F464" s="4"/>
    </row>
    <row r="465" spans="1:6" x14ac:dyDescent="0.2">
      <c r="A465" s="1" t="s">
        <v>302</v>
      </c>
      <c r="F465" s="4"/>
    </row>
    <row r="466" spans="1:6" x14ac:dyDescent="0.2">
      <c r="A466" t="s">
        <v>225</v>
      </c>
      <c r="B466" t="s">
        <v>1</v>
      </c>
      <c r="C466" t="s">
        <v>1</v>
      </c>
      <c r="D466" t="s">
        <v>2</v>
      </c>
      <c r="E466" t="s">
        <v>32</v>
      </c>
      <c r="F466" s="4" t="s">
        <v>74</v>
      </c>
    </row>
    <row r="467" spans="1:6" x14ac:dyDescent="0.2">
      <c r="A467" t="s">
        <v>686</v>
      </c>
      <c r="B467" t="s">
        <v>2</v>
      </c>
      <c r="C467" t="s">
        <v>2</v>
      </c>
      <c r="D467" t="s">
        <v>1</v>
      </c>
      <c r="E467" t="s">
        <v>31</v>
      </c>
      <c r="F467" s="4" t="s">
        <v>55</v>
      </c>
    </row>
    <row r="468" spans="1:6" x14ac:dyDescent="0.2">
      <c r="A468" t="s">
        <v>226</v>
      </c>
      <c r="B468" t="s">
        <v>2</v>
      </c>
      <c r="C468" t="s">
        <v>2</v>
      </c>
      <c r="D468" t="s">
        <v>1</v>
      </c>
      <c r="E468" t="s">
        <v>31</v>
      </c>
      <c r="F468" s="4" t="s">
        <v>55</v>
      </c>
    </row>
    <row r="469" spans="1:6" x14ac:dyDescent="0.2">
      <c r="F469" s="4"/>
    </row>
    <row r="470" spans="1:6" x14ac:dyDescent="0.2">
      <c r="A470" s="1" t="s">
        <v>303</v>
      </c>
      <c r="F470" s="4"/>
    </row>
    <row r="471" spans="1:6" x14ac:dyDescent="0.2">
      <c r="A471" t="s">
        <v>536</v>
      </c>
      <c r="B471" t="s">
        <v>1</v>
      </c>
      <c r="C471" t="s">
        <v>1</v>
      </c>
      <c r="D471" t="s">
        <v>2</v>
      </c>
      <c r="E471" t="s">
        <v>96</v>
      </c>
      <c r="F471" s="4" t="s">
        <v>38</v>
      </c>
    </row>
    <row r="472" spans="1:6" x14ac:dyDescent="0.2">
      <c r="F472" s="4"/>
    </row>
    <row r="473" spans="1:6" x14ac:dyDescent="0.2">
      <c r="A473" s="7" t="s">
        <v>305</v>
      </c>
      <c r="F473" s="4"/>
    </row>
    <row r="474" spans="1:6" x14ac:dyDescent="0.2">
      <c r="A474" s="2" t="s">
        <v>228</v>
      </c>
      <c r="B474" t="s">
        <v>2</v>
      </c>
      <c r="C474" t="s">
        <v>2</v>
      </c>
      <c r="D474" t="s">
        <v>1</v>
      </c>
      <c r="E474" t="s">
        <v>31</v>
      </c>
      <c r="F474" s="5" t="s">
        <v>103</v>
      </c>
    </row>
    <row r="475" spans="1:6" x14ac:dyDescent="0.2">
      <c r="F475" s="4"/>
    </row>
    <row r="476" spans="1:6" x14ac:dyDescent="0.2">
      <c r="A476" t="s">
        <v>736</v>
      </c>
      <c r="F476" s="4"/>
    </row>
    <row r="477" spans="1:6" x14ac:dyDescent="0.2">
      <c r="A477" t="s">
        <v>737</v>
      </c>
      <c r="B477" t="s">
        <v>2</v>
      </c>
      <c r="C477" t="s">
        <v>2</v>
      </c>
      <c r="D477" t="s">
        <v>2</v>
      </c>
      <c r="E477" t="s">
        <v>31</v>
      </c>
      <c r="F477" s="4" t="s">
        <v>725</v>
      </c>
    </row>
    <row r="478" spans="1:6" x14ac:dyDescent="0.2">
      <c r="F478" s="4"/>
    </row>
    <row r="479" spans="1:6" x14ac:dyDescent="0.2">
      <c r="A479" s="1" t="s">
        <v>412</v>
      </c>
      <c r="F479" s="4"/>
    </row>
    <row r="480" spans="1:6" x14ac:dyDescent="0.2">
      <c r="A480" t="s">
        <v>380</v>
      </c>
      <c r="B480" t="s">
        <v>1</v>
      </c>
      <c r="C480" t="s">
        <v>1</v>
      </c>
      <c r="D480" t="s">
        <v>2</v>
      </c>
      <c r="E480" t="s">
        <v>29</v>
      </c>
      <c r="F480" s="5" t="s">
        <v>78</v>
      </c>
    </row>
    <row r="481" spans="1:6" x14ac:dyDescent="0.2">
      <c r="A481" t="s">
        <v>381</v>
      </c>
      <c r="B481" t="s">
        <v>2</v>
      </c>
      <c r="C481" t="s">
        <v>2</v>
      </c>
      <c r="D481" t="s">
        <v>2</v>
      </c>
      <c r="E481" t="s">
        <v>31</v>
      </c>
      <c r="F481" s="5" t="s">
        <v>78</v>
      </c>
    </row>
    <row r="482" spans="1:6" x14ac:dyDescent="0.2">
      <c r="A482" t="s">
        <v>382</v>
      </c>
      <c r="B482" t="s">
        <v>1</v>
      </c>
      <c r="C482" t="s">
        <v>2</v>
      </c>
      <c r="D482" t="s">
        <v>2</v>
      </c>
      <c r="E482" s="4" t="s">
        <v>60</v>
      </c>
      <c r="F482" s="4" t="s">
        <v>61</v>
      </c>
    </row>
    <row r="483" spans="1:6" x14ac:dyDescent="0.2">
      <c r="A483" t="s">
        <v>383</v>
      </c>
      <c r="B483" t="s">
        <v>2</v>
      </c>
      <c r="C483" t="s">
        <v>2</v>
      </c>
      <c r="D483" t="s">
        <v>2</v>
      </c>
      <c r="E483" t="s">
        <v>31</v>
      </c>
      <c r="F483" s="5" t="s">
        <v>78</v>
      </c>
    </row>
    <row r="484" spans="1:6" x14ac:dyDescent="0.2">
      <c r="A484" t="s">
        <v>615</v>
      </c>
      <c r="B484" t="s">
        <v>2</v>
      </c>
      <c r="C484" t="s">
        <v>2</v>
      </c>
      <c r="D484" t="s">
        <v>2</v>
      </c>
      <c r="E484" t="s">
        <v>31</v>
      </c>
      <c r="F484" s="5" t="s">
        <v>616</v>
      </c>
    </row>
    <row r="485" spans="1:6" x14ac:dyDescent="0.2">
      <c r="A485" t="s">
        <v>384</v>
      </c>
      <c r="B485" t="s">
        <v>2</v>
      </c>
      <c r="C485" t="s">
        <v>2</v>
      </c>
      <c r="D485" t="s">
        <v>2</v>
      </c>
      <c r="E485" s="5" t="s">
        <v>137</v>
      </c>
      <c r="F485" s="5" t="s">
        <v>138</v>
      </c>
    </row>
    <row r="486" spans="1:6" x14ac:dyDescent="0.2">
      <c r="F486" s="4"/>
    </row>
    <row r="487" spans="1:6" x14ac:dyDescent="0.2">
      <c r="A487" s="1" t="s">
        <v>362</v>
      </c>
      <c r="F487" s="4"/>
    </row>
    <row r="488" spans="1:6" x14ac:dyDescent="0.2">
      <c r="A488" t="s">
        <v>349</v>
      </c>
      <c r="B488" t="s">
        <v>1</v>
      </c>
      <c r="C488" t="s">
        <v>2</v>
      </c>
      <c r="D488" t="s">
        <v>1</v>
      </c>
      <c r="E488" t="s">
        <v>31</v>
      </c>
      <c r="F488" s="4" t="s">
        <v>69</v>
      </c>
    </row>
    <row r="489" spans="1:6" x14ac:dyDescent="0.2">
      <c r="F489" s="4"/>
    </row>
    <row r="490" spans="1:6" x14ac:dyDescent="0.2">
      <c r="A490" s="1" t="s">
        <v>413</v>
      </c>
      <c r="F490" s="4"/>
    </row>
    <row r="491" spans="1:6" x14ac:dyDescent="0.2">
      <c r="A491" t="s">
        <v>385</v>
      </c>
      <c r="B491" t="s">
        <v>1</v>
      </c>
      <c r="C491" t="s">
        <v>1</v>
      </c>
      <c r="D491" t="s">
        <v>2</v>
      </c>
      <c r="E491" t="s">
        <v>655</v>
      </c>
      <c r="F491" s="5" t="s">
        <v>78</v>
      </c>
    </row>
    <row r="492" spans="1:6" x14ac:dyDescent="0.2">
      <c r="F492" s="4"/>
    </row>
    <row r="493" spans="1:6" x14ac:dyDescent="0.2">
      <c r="A493" s="1" t="s">
        <v>666</v>
      </c>
      <c r="F493" s="4"/>
    </row>
    <row r="494" spans="1:6" x14ac:dyDescent="0.2">
      <c r="A494" t="s">
        <v>667</v>
      </c>
      <c r="B494" t="s">
        <v>1</v>
      </c>
      <c r="C494" t="s">
        <v>2</v>
      </c>
      <c r="D494" t="s">
        <v>1</v>
      </c>
      <c r="E494" t="s">
        <v>31</v>
      </c>
      <c r="F494" s="4" t="s">
        <v>668</v>
      </c>
    </row>
    <row r="495" spans="1:6" x14ac:dyDescent="0.2">
      <c r="F495" s="4"/>
    </row>
    <row r="496" spans="1:6" x14ac:dyDescent="0.2">
      <c r="A496" s="1" t="s">
        <v>449</v>
      </c>
      <c r="F496" s="4"/>
    </row>
    <row r="497" spans="1:6" x14ac:dyDescent="0.2">
      <c r="A497" s="1" t="s">
        <v>718</v>
      </c>
      <c r="B497" t="s">
        <v>1</v>
      </c>
      <c r="C497" t="s">
        <v>1</v>
      </c>
      <c r="D497" t="s">
        <v>2</v>
      </c>
      <c r="E497" t="s">
        <v>29</v>
      </c>
      <c r="F497" s="4" t="s">
        <v>717</v>
      </c>
    </row>
    <row r="498" spans="1:6" x14ac:dyDescent="0.2">
      <c r="A498" t="s">
        <v>432</v>
      </c>
      <c r="B498" t="s">
        <v>1</v>
      </c>
      <c r="C498" t="s">
        <v>2</v>
      </c>
      <c r="D498" t="s">
        <v>1</v>
      </c>
      <c r="E498" t="s">
        <v>31</v>
      </c>
      <c r="F498" s="4" t="s">
        <v>67</v>
      </c>
    </row>
    <row r="499" spans="1:6" x14ac:dyDescent="0.2">
      <c r="F499" s="4"/>
    </row>
    <row r="500" spans="1:6" x14ac:dyDescent="0.2">
      <c r="A500" s="1" t="s">
        <v>306</v>
      </c>
      <c r="F500" s="4"/>
    </row>
    <row r="501" spans="1:6" x14ac:dyDescent="0.2">
      <c r="A501" t="s">
        <v>229</v>
      </c>
      <c r="B501" t="s">
        <v>1</v>
      </c>
      <c r="C501" t="s">
        <v>1</v>
      </c>
      <c r="D501" t="s">
        <v>2</v>
      </c>
      <c r="E501" t="s">
        <v>29</v>
      </c>
      <c r="F501" s="4" t="s">
        <v>30</v>
      </c>
    </row>
    <row r="502" spans="1:6" x14ac:dyDescent="0.2">
      <c r="A502" t="s">
        <v>230</v>
      </c>
      <c r="B502" t="s">
        <v>1</v>
      </c>
      <c r="C502" t="s">
        <v>2</v>
      </c>
      <c r="D502" t="s">
        <v>1</v>
      </c>
      <c r="E502" t="s">
        <v>31</v>
      </c>
      <c r="F502" s="4" t="s">
        <v>79</v>
      </c>
    </row>
    <row r="503" spans="1:6" x14ac:dyDescent="0.2">
      <c r="F503" s="4"/>
    </row>
    <row r="504" spans="1:6" x14ac:dyDescent="0.2">
      <c r="A504" s="1" t="s">
        <v>231</v>
      </c>
      <c r="F504" s="4"/>
    </row>
    <row r="505" spans="1:6" x14ac:dyDescent="0.2">
      <c r="A505" t="s">
        <v>232</v>
      </c>
      <c r="B505" t="s">
        <v>1</v>
      </c>
      <c r="C505" t="s">
        <v>1</v>
      </c>
      <c r="D505" t="s">
        <v>2</v>
      </c>
      <c r="E505" t="s">
        <v>125</v>
      </c>
      <c r="F505" s="4" t="s">
        <v>64</v>
      </c>
    </row>
    <row r="506" spans="1:6" x14ac:dyDescent="0.2">
      <c r="A506" t="s">
        <v>233</v>
      </c>
      <c r="B506" t="s">
        <v>1</v>
      </c>
      <c r="C506" t="s">
        <v>1</v>
      </c>
      <c r="D506" t="s">
        <v>2</v>
      </c>
      <c r="E506" t="s">
        <v>29</v>
      </c>
      <c r="F506" s="4" t="s">
        <v>124</v>
      </c>
    </row>
    <row r="507" spans="1:6" x14ac:dyDescent="0.2">
      <c r="F507" s="4"/>
    </row>
    <row r="508" spans="1:6" x14ac:dyDescent="0.2">
      <c r="A508" s="1" t="s">
        <v>451</v>
      </c>
      <c r="F508" s="4"/>
    </row>
    <row r="509" spans="1:6" x14ac:dyDescent="0.2">
      <c r="A509" t="s">
        <v>434</v>
      </c>
      <c r="B509" t="s">
        <v>1</v>
      </c>
      <c r="C509" t="s">
        <v>2</v>
      </c>
      <c r="D509" t="s">
        <v>1</v>
      </c>
      <c r="E509" t="s">
        <v>31</v>
      </c>
      <c r="F509" s="4" t="s">
        <v>79</v>
      </c>
    </row>
    <row r="510" spans="1:6" x14ac:dyDescent="0.2">
      <c r="F510" s="4"/>
    </row>
    <row r="511" spans="1:6" x14ac:dyDescent="0.2">
      <c r="A511" s="1" t="s">
        <v>414</v>
      </c>
      <c r="F511" s="4"/>
    </row>
    <row r="512" spans="1:6" x14ac:dyDescent="0.2">
      <c r="A512" t="s">
        <v>386</v>
      </c>
      <c r="B512" t="s">
        <v>2</v>
      </c>
      <c r="C512" t="s">
        <v>2</v>
      </c>
      <c r="D512" t="s">
        <v>2</v>
      </c>
      <c r="E512" t="s">
        <v>31</v>
      </c>
      <c r="F512" s="5" t="s">
        <v>78</v>
      </c>
    </row>
    <row r="513" spans="1:6" x14ac:dyDescent="0.2">
      <c r="A513" t="s">
        <v>387</v>
      </c>
      <c r="B513" t="s">
        <v>1</v>
      </c>
      <c r="C513" t="s">
        <v>1</v>
      </c>
      <c r="D513" t="s">
        <v>2</v>
      </c>
      <c r="E513" t="s">
        <v>29</v>
      </c>
      <c r="F513" s="5" t="s">
        <v>78</v>
      </c>
    </row>
    <row r="514" spans="1:6" x14ac:dyDescent="0.2">
      <c r="F514" s="5"/>
    </row>
    <row r="515" spans="1:6" x14ac:dyDescent="0.2">
      <c r="A515" s="1" t="s">
        <v>360</v>
      </c>
      <c r="F515" s="5"/>
    </row>
    <row r="516" spans="1:6" x14ac:dyDescent="0.2">
      <c r="A516" t="s">
        <v>350</v>
      </c>
      <c r="B516" t="s">
        <v>1</v>
      </c>
      <c r="C516" t="s">
        <v>1</v>
      </c>
      <c r="D516" t="s">
        <v>2</v>
      </c>
      <c r="E516" t="s">
        <v>39</v>
      </c>
      <c r="F516" s="5" t="s">
        <v>127</v>
      </c>
    </row>
    <row r="517" spans="1:6" x14ac:dyDescent="0.2">
      <c r="F517" s="4"/>
    </row>
    <row r="518" spans="1:6" x14ac:dyDescent="0.2">
      <c r="A518" s="1" t="s">
        <v>415</v>
      </c>
      <c r="F518" s="4"/>
    </row>
    <row r="519" spans="1:6" x14ac:dyDescent="0.2">
      <c r="A519" t="s">
        <v>388</v>
      </c>
      <c r="B519" t="s">
        <v>1</v>
      </c>
      <c r="C519" t="s">
        <v>2</v>
      </c>
      <c r="D519" t="s">
        <v>2</v>
      </c>
      <c r="E519" s="4" t="s">
        <v>60</v>
      </c>
      <c r="F519" s="4" t="s">
        <v>61</v>
      </c>
    </row>
    <row r="520" spans="1:6" x14ac:dyDescent="0.2">
      <c r="A520" t="s">
        <v>389</v>
      </c>
      <c r="B520" t="s">
        <v>1</v>
      </c>
      <c r="C520" t="s">
        <v>2</v>
      </c>
      <c r="D520" t="s">
        <v>2</v>
      </c>
      <c r="E520" s="5" t="s">
        <v>137</v>
      </c>
      <c r="F520" s="5" t="s">
        <v>138</v>
      </c>
    </row>
    <row r="521" spans="1:6" x14ac:dyDescent="0.2">
      <c r="F521" s="4"/>
    </row>
    <row r="522" spans="1:6" x14ac:dyDescent="0.2">
      <c r="A522" s="1" t="s">
        <v>307</v>
      </c>
      <c r="F522" s="4"/>
    </row>
    <row r="523" spans="1:6" x14ac:dyDescent="0.2">
      <c r="A523" t="s">
        <v>234</v>
      </c>
      <c r="B523" t="s">
        <v>1</v>
      </c>
      <c r="C523" t="s">
        <v>1</v>
      </c>
      <c r="D523" t="s">
        <v>2</v>
      </c>
      <c r="E523" t="s">
        <v>31</v>
      </c>
      <c r="F523" s="4" t="s">
        <v>114</v>
      </c>
    </row>
    <row r="524" spans="1:6" x14ac:dyDescent="0.2">
      <c r="F524" s="4"/>
    </row>
    <row r="525" spans="1:6" x14ac:dyDescent="0.2">
      <c r="A525" t="s">
        <v>646</v>
      </c>
      <c r="F525" s="4"/>
    </row>
    <row r="526" spans="1:6" x14ac:dyDescent="0.2">
      <c r="A526" t="s">
        <v>647</v>
      </c>
      <c r="B526" t="s">
        <v>2</v>
      </c>
      <c r="C526" t="s">
        <v>2</v>
      </c>
      <c r="D526" t="s">
        <v>2</v>
      </c>
      <c r="E526" t="s">
        <v>31</v>
      </c>
      <c r="F526" s="4" t="s">
        <v>558</v>
      </c>
    </row>
    <row r="527" spans="1:6" x14ac:dyDescent="0.2">
      <c r="F527" s="4"/>
    </row>
    <row r="528" spans="1:6" x14ac:dyDescent="0.2">
      <c r="A528" t="s">
        <v>761</v>
      </c>
      <c r="F528" s="4"/>
    </row>
    <row r="529" spans="1:6" x14ac:dyDescent="0.2">
      <c r="A529" t="s">
        <v>762</v>
      </c>
      <c r="B529" t="s">
        <v>1</v>
      </c>
      <c r="C529" t="s">
        <v>1</v>
      </c>
      <c r="D529" t="s">
        <v>2</v>
      </c>
      <c r="E529" t="s">
        <v>29</v>
      </c>
      <c r="F529" s="4" t="s">
        <v>725</v>
      </c>
    </row>
    <row r="530" spans="1:6" x14ac:dyDescent="0.2">
      <c r="F530" s="4"/>
    </row>
    <row r="531" spans="1:6" x14ac:dyDescent="0.2">
      <c r="A531" t="s">
        <v>709</v>
      </c>
      <c r="F531" s="4"/>
    </row>
    <row r="532" spans="1:6" x14ac:dyDescent="0.2">
      <c r="A532" t="s">
        <v>710</v>
      </c>
      <c r="B532" t="s">
        <v>1</v>
      </c>
      <c r="C532" t="s">
        <v>1</v>
      </c>
      <c r="D532" t="s">
        <v>2</v>
      </c>
      <c r="E532" t="s">
        <v>689</v>
      </c>
      <c r="F532" s="4" t="s">
        <v>690</v>
      </c>
    </row>
    <row r="533" spans="1:6" x14ac:dyDescent="0.2">
      <c r="F533" s="4"/>
    </row>
    <row r="534" spans="1:6" x14ac:dyDescent="0.2">
      <c r="A534" t="s">
        <v>457</v>
      </c>
      <c r="F534" s="4"/>
    </row>
    <row r="535" spans="1:6" x14ac:dyDescent="0.2">
      <c r="A535" t="s">
        <v>458</v>
      </c>
      <c r="B535" t="s">
        <v>1</v>
      </c>
      <c r="C535" t="s">
        <v>1</v>
      </c>
      <c r="D535" t="s">
        <v>2</v>
      </c>
      <c r="E535" t="s">
        <v>29</v>
      </c>
      <c r="F535" s="4" t="s">
        <v>725</v>
      </c>
    </row>
    <row r="536" spans="1:6" x14ac:dyDescent="0.2">
      <c r="F536" s="4"/>
    </row>
    <row r="537" spans="1:6" x14ac:dyDescent="0.2">
      <c r="A537" s="1" t="s">
        <v>463</v>
      </c>
      <c r="F537" s="4"/>
    </row>
    <row r="538" spans="1:6" x14ac:dyDescent="0.2">
      <c r="A538" t="s">
        <v>462</v>
      </c>
      <c r="B538" t="s">
        <v>1</v>
      </c>
      <c r="C538" t="s">
        <v>1</v>
      </c>
      <c r="D538" t="s">
        <v>2</v>
      </c>
      <c r="E538" t="s">
        <v>119</v>
      </c>
      <c r="F538" s="4" t="s">
        <v>117</v>
      </c>
    </row>
    <row r="539" spans="1:6" x14ac:dyDescent="0.2">
      <c r="F539" s="4"/>
    </row>
    <row r="540" spans="1:6" x14ac:dyDescent="0.2">
      <c r="A540" s="1" t="s">
        <v>308</v>
      </c>
      <c r="F540" s="4"/>
    </row>
    <row r="541" spans="1:6" x14ac:dyDescent="0.2">
      <c r="A541" t="s">
        <v>235</v>
      </c>
      <c r="B541" t="s">
        <v>1</v>
      </c>
      <c r="C541" t="s">
        <v>2</v>
      </c>
      <c r="D541" t="s">
        <v>1</v>
      </c>
      <c r="E541" t="s">
        <v>31</v>
      </c>
      <c r="F541" s="5" t="s">
        <v>69</v>
      </c>
    </row>
    <row r="542" spans="1:6" x14ac:dyDescent="0.2">
      <c r="F542" s="4"/>
    </row>
    <row r="543" spans="1:6" x14ac:dyDescent="0.2">
      <c r="A543" s="1" t="s">
        <v>309</v>
      </c>
      <c r="F543" s="4"/>
    </row>
    <row r="544" spans="1:6" x14ac:dyDescent="0.2">
      <c r="A544" t="s">
        <v>236</v>
      </c>
      <c r="B544" t="s">
        <v>2</v>
      </c>
      <c r="C544" t="s">
        <v>2</v>
      </c>
      <c r="D544" t="s">
        <v>2</v>
      </c>
      <c r="E544" t="s">
        <v>31</v>
      </c>
      <c r="F544" s="5" t="s">
        <v>38</v>
      </c>
    </row>
    <row r="545" spans="1:6" x14ac:dyDescent="0.2">
      <c r="A545" t="s">
        <v>763</v>
      </c>
      <c r="B545" t="s">
        <v>2</v>
      </c>
      <c r="C545" t="s">
        <v>2</v>
      </c>
      <c r="D545" t="s">
        <v>2</v>
      </c>
      <c r="E545" t="s">
        <v>31</v>
      </c>
      <c r="F545" s="5" t="s">
        <v>725</v>
      </c>
    </row>
    <row r="546" spans="1:6" x14ac:dyDescent="0.2">
      <c r="F546" s="5"/>
    </row>
    <row r="547" spans="1:6" x14ac:dyDescent="0.2">
      <c r="A547" t="s">
        <v>713</v>
      </c>
      <c r="F547" s="5"/>
    </row>
    <row r="548" spans="1:6" x14ac:dyDescent="0.2">
      <c r="A548" t="s">
        <v>714</v>
      </c>
      <c r="B548" t="s">
        <v>1</v>
      </c>
      <c r="C548" t="s">
        <v>1</v>
      </c>
      <c r="D548" t="s">
        <v>2</v>
      </c>
      <c r="E548" t="s">
        <v>689</v>
      </c>
      <c r="F548" s="4" t="s">
        <v>690</v>
      </c>
    </row>
    <row r="549" spans="1:6" x14ac:dyDescent="0.2">
      <c r="F549" s="5"/>
    </row>
    <row r="550" spans="1:6" x14ac:dyDescent="0.2">
      <c r="A550" s="1" t="s">
        <v>335</v>
      </c>
      <c r="F550" s="4"/>
    </row>
    <row r="551" spans="1:6" x14ac:dyDescent="0.2">
      <c r="A551" t="s">
        <v>330</v>
      </c>
      <c r="B551" t="s">
        <v>1</v>
      </c>
      <c r="C551" t="s">
        <v>1</v>
      </c>
      <c r="D551" t="s">
        <v>2</v>
      </c>
      <c r="E551" t="s">
        <v>84</v>
      </c>
      <c r="F551" s="4" t="s">
        <v>719</v>
      </c>
    </row>
    <row r="552" spans="1:6" x14ac:dyDescent="0.2">
      <c r="F552" s="4"/>
    </row>
    <row r="553" spans="1:6" x14ac:dyDescent="0.2">
      <c r="A553" s="1" t="s">
        <v>520</v>
      </c>
      <c r="F553" s="4"/>
    </row>
    <row r="554" spans="1:6" x14ac:dyDescent="0.2">
      <c r="A554" t="s">
        <v>499</v>
      </c>
      <c r="B554" t="s">
        <v>1</v>
      </c>
      <c r="C554" t="s">
        <v>2</v>
      </c>
      <c r="D554" t="s">
        <v>1</v>
      </c>
      <c r="E554" t="s">
        <v>31</v>
      </c>
      <c r="F554" s="4" t="s">
        <v>47</v>
      </c>
    </row>
    <row r="555" spans="1:6" x14ac:dyDescent="0.2">
      <c r="F555" s="4"/>
    </row>
    <row r="556" spans="1:6" x14ac:dyDescent="0.2">
      <c r="A556" s="1" t="s">
        <v>588</v>
      </c>
      <c r="F556" s="5"/>
    </row>
    <row r="557" spans="1:6" x14ac:dyDescent="0.2">
      <c r="A557" t="s">
        <v>589</v>
      </c>
      <c r="B557" t="s">
        <v>2</v>
      </c>
      <c r="C557" t="s">
        <v>2</v>
      </c>
      <c r="D557" t="s">
        <v>2</v>
      </c>
      <c r="E557" t="s">
        <v>31</v>
      </c>
      <c r="F557" s="4" t="s">
        <v>558</v>
      </c>
    </row>
    <row r="558" spans="1:6" x14ac:dyDescent="0.2">
      <c r="A558" t="s">
        <v>590</v>
      </c>
      <c r="B558" t="s">
        <v>2</v>
      </c>
      <c r="C558" t="s">
        <v>2</v>
      </c>
      <c r="D558" t="s">
        <v>2</v>
      </c>
      <c r="E558" t="s">
        <v>31</v>
      </c>
      <c r="F558" s="4" t="s">
        <v>571</v>
      </c>
    </row>
    <row r="559" spans="1:6" x14ac:dyDescent="0.2">
      <c r="A559" t="s">
        <v>591</v>
      </c>
      <c r="B559" t="s">
        <v>2</v>
      </c>
      <c r="C559" t="s">
        <v>2</v>
      </c>
      <c r="D559" t="s">
        <v>2</v>
      </c>
      <c r="E559" t="s">
        <v>31</v>
      </c>
      <c r="F559" s="4" t="s">
        <v>572</v>
      </c>
    </row>
    <row r="560" spans="1:6" x14ac:dyDescent="0.2">
      <c r="F560" s="4"/>
    </row>
    <row r="561" spans="1:6" x14ac:dyDescent="0.2">
      <c r="A561" t="s">
        <v>691</v>
      </c>
      <c r="F561" s="4"/>
    </row>
    <row r="562" spans="1:6" x14ac:dyDescent="0.2">
      <c r="A562" t="s">
        <v>692</v>
      </c>
      <c r="B562" t="s">
        <v>1</v>
      </c>
      <c r="C562" t="s">
        <v>1</v>
      </c>
      <c r="D562" t="s">
        <v>2</v>
      </c>
      <c r="E562" t="s">
        <v>689</v>
      </c>
      <c r="F562" s="4" t="s">
        <v>690</v>
      </c>
    </row>
    <row r="563" spans="1:6" x14ac:dyDescent="0.2">
      <c r="F563" s="4"/>
    </row>
    <row r="564" spans="1:6" x14ac:dyDescent="0.2">
      <c r="A564" s="1" t="s">
        <v>310</v>
      </c>
      <c r="F564" s="4"/>
    </row>
    <row r="565" spans="1:6" x14ac:dyDescent="0.2">
      <c r="A565" t="s">
        <v>237</v>
      </c>
      <c r="B565" t="s">
        <v>1</v>
      </c>
      <c r="C565" t="s">
        <v>1</v>
      </c>
      <c r="D565" t="s">
        <v>2</v>
      </c>
      <c r="E565" t="s">
        <v>31</v>
      </c>
      <c r="F565" s="4" t="s">
        <v>30</v>
      </c>
    </row>
    <row r="566" spans="1:6" x14ac:dyDescent="0.2">
      <c r="A566" t="s">
        <v>238</v>
      </c>
      <c r="B566" t="s">
        <v>1</v>
      </c>
      <c r="C566" t="s">
        <v>1</v>
      </c>
      <c r="D566" t="s">
        <v>2</v>
      </c>
      <c r="E566" t="s">
        <v>31</v>
      </c>
      <c r="F566" s="4" t="s">
        <v>30</v>
      </c>
    </row>
    <row r="567" spans="1:6" x14ac:dyDescent="0.2">
      <c r="A567" t="s">
        <v>239</v>
      </c>
      <c r="B567" t="s">
        <v>2</v>
      </c>
      <c r="C567" t="s">
        <v>2</v>
      </c>
      <c r="D567" t="s">
        <v>1</v>
      </c>
      <c r="E567" t="s">
        <v>31</v>
      </c>
      <c r="F567" s="4" t="s">
        <v>79</v>
      </c>
    </row>
    <row r="568" spans="1:6" x14ac:dyDescent="0.2">
      <c r="A568" t="s">
        <v>240</v>
      </c>
      <c r="B568" t="s">
        <v>1</v>
      </c>
      <c r="C568" t="s">
        <v>1</v>
      </c>
      <c r="D568" t="s">
        <v>2</v>
      </c>
      <c r="E568" t="s">
        <v>32</v>
      </c>
      <c r="F568" s="4" t="s">
        <v>720</v>
      </c>
    </row>
    <row r="569" spans="1:6" x14ac:dyDescent="0.2">
      <c r="A569" t="s">
        <v>241</v>
      </c>
      <c r="B569" t="s">
        <v>1</v>
      </c>
      <c r="C569" t="s">
        <v>1</v>
      </c>
      <c r="D569" t="s">
        <v>2</v>
      </c>
      <c r="E569" t="s">
        <v>721</v>
      </c>
      <c r="F569" s="4" t="s">
        <v>720</v>
      </c>
    </row>
    <row r="570" spans="1:6" x14ac:dyDescent="0.2">
      <c r="A570" t="s">
        <v>242</v>
      </c>
      <c r="B570" t="s">
        <v>2</v>
      </c>
      <c r="C570" t="s">
        <v>2</v>
      </c>
      <c r="D570" t="s">
        <v>1</v>
      </c>
      <c r="E570" t="s">
        <v>31</v>
      </c>
      <c r="F570" s="4" t="s">
        <v>79</v>
      </c>
    </row>
    <row r="571" spans="1:6" x14ac:dyDescent="0.2">
      <c r="F571" s="4"/>
    </row>
    <row r="572" spans="1:6" x14ac:dyDescent="0.2">
      <c r="A572" s="1" t="s">
        <v>243</v>
      </c>
      <c r="F572" s="4"/>
    </row>
    <row r="573" spans="1:6" x14ac:dyDescent="0.2">
      <c r="A573" t="s">
        <v>244</v>
      </c>
      <c r="B573" t="s">
        <v>1</v>
      </c>
      <c r="C573" t="s">
        <v>1</v>
      </c>
      <c r="D573" t="s">
        <v>2</v>
      </c>
      <c r="E573" t="s">
        <v>39</v>
      </c>
      <c r="F573" s="4" t="s">
        <v>120</v>
      </c>
    </row>
    <row r="574" spans="1:6" x14ac:dyDescent="0.2">
      <c r="A574" t="s">
        <v>245</v>
      </c>
      <c r="B574" t="s">
        <v>1</v>
      </c>
      <c r="C574" t="s">
        <v>1</v>
      </c>
      <c r="D574" t="s">
        <v>2</v>
      </c>
      <c r="E574" t="s">
        <v>45</v>
      </c>
      <c r="F574" s="4" t="s">
        <v>120</v>
      </c>
    </row>
    <row r="575" spans="1:6" x14ac:dyDescent="0.2">
      <c r="A575" t="s">
        <v>644</v>
      </c>
      <c r="B575" t="s">
        <v>2</v>
      </c>
      <c r="C575" t="s">
        <v>2</v>
      </c>
      <c r="D575" t="s">
        <v>2</v>
      </c>
      <c r="E575" t="s">
        <v>31</v>
      </c>
      <c r="F575" s="4" t="s">
        <v>558</v>
      </c>
    </row>
    <row r="576" spans="1:6" x14ac:dyDescent="0.2">
      <c r="F576" s="4"/>
    </row>
    <row r="577" spans="1:9" x14ac:dyDescent="0.2">
      <c r="A577" s="1" t="s">
        <v>416</v>
      </c>
      <c r="F577" s="4"/>
    </row>
    <row r="578" spans="1:9" x14ac:dyDescent="0.2">
      <c r="A578" t="s">
        <v>390</v>
      </c>
      <c r="B578" t="s">
        <v>1</v>
      </c>
      <c r="C578" t="s">
        <v>1</v>
      </c>
      <c r="D578" t="s">
        <v>2</v>
      </c>
      <c r="E578" t="s">
        <v>29</v>
      </c>
      <c r="F578" s="5" t="s">
        <v>78</v>
      </c>
    </row>
    <row r="579" spans="1:9" x14ac:dyDescent="0.2">
      <c r="F579" s="4"/>
    </row>
    <row r="580" spans="1:9" x14ac:dyDescent="0.2">
      <c r="A580" s="1" t="s">
        <v>521</v>
      </c>
      <c r="F580" s="4"/>
    </row>
    <row r="581" spans="1:9" x14ac:dyDescent="0.2">
      <c r="A581" t="s">
        <v>500</v>
      </c>
      <c r="B581" t="s">
        <v>1</v>
      </c>
      <c r="C581" t="s">
        <v>1</v>
      </c>
      <c r="D581" t="s">
        <v>2</v>
      </c>
      <c r="E581" t="s">
        <v>29</v>
      </c>
      <c r="F581" s="4" t="s">
        <v>46</v>
      </c>
    </row>
    <row r="582" spans="1:9" s="9" customFormat="1" x14ac:dyDescent="0.2">
      <c r="A582"/>
      <c r="B582"/>
      <c r="C582"/>
      <c r="D582"/>
      <c r="E582"/>
      <c r="F582" s="4"/>
      <c r="G582"/>
      <c r="H582"/>
      <c r="I582"/>
    </row>
    <row r="583" spans="1:9" x14ac:dyDescent="0.2">
      <c r="A583" s="1" t="s">
        <v>417</v>
      </c>
      <c r="F583" s="4"/>
    </row>
    <row r="584" spans="1:9" x14ac:dyDescent="0.2">
      <c r="A584" t="s">
        <v>391</v>
      </c>
      <c r="B584" t="s">
        <v>1</v>
      </c>
      <c r="C584" t="s">
        <v>1</v>
      </c>
      <c r="D584" t="s">
        <v>2</v>
      </c>
      <c r="E584" t="s">
        <v>29</v>
      </c>
      <c r="F584" s="5" t="s">
        <v>78</v>
      </c>
      <c r="G584" s="9"/>
      <c r="H584" s="9"/>
      <c r="I584" s="9"/>
    </row>
    <row r="585" spans="1:9" x14ac:dyDescent="0.2">
      <c r="A585" t="s">
        <v>392</v>
      </c>
      <c r="B585" t="s">
        <v>1</v>
      </c>
      <c r="C585" t="s">
        <v>1</v>
      </c>
      <c r="D585" t="s">
        <v>2</v>
      </c>
      <c r="E585" t="s">
        <v>84</v>
      </c>
      <c r="F585" s="5" t="s">
        <v>78</v>
      </c>
    </row>
    <row r="586" spans="1:9" x14ac:dyDescent="0.2">
      <c r="F586" s="5"/>
    </row>
    <row r="587" spans="1:9" x14ac:dyDescent="0.2">
      <c r="A587" s="1" t="s">
        <v>638</v>
      </c>
      <c r="F587" s="4"/>
    </row>
    <row r="588" spans="1:9" x14ac:dyDescent="0.2">
      <c r="A588" t="s">
        <v>639</v>
      </c>
      <c r="B588" t="s">
        <v>2</v>
      </c>
      <c r="C588" t="s">
        <v>2</v>
      </c>
      <c r="D588" t="s">
        <v>2</v>
      </c>
      <c r="E588" t="s">
        <v>31</v>
      </c>
      <c r="F588" s="4" t="s">
        <v>558</v>
      </c>
    </row>
    <row r="589" spans="1:9" x14ac:dyDescent="0.2">
      <c r="F589" s="4"/>
    </row>
    <row r="590" spans="1:9" x14ac:dyDescent="0.2">
      <c r="A590" s="1" t="s">
        <v>771</v>
      </c>
      <c r="F590" s="4"/>
    </row>
    <row r="591" spans="1:9" x14ac:dyDescent="0.2">
      <c r="A591" t="s">
        <v>772</v>
      </c>
      <c r="B591" t="s">
        <v>1</v>
      </c>
      <c r="C591" t="s">
        <v>1</v>
      </c>
      <c r="D591" t="s">
        <v>2</v>
      </c>
      <c r="E591" t="s">
        <v>29</v>
      </c>
      <c r="F591" s="4"/>
    </row>
    <row r="592" spans="1:9" x14ac:dyDescent="0.2">
      <c r="F592" s="4"/>
    </row>
    <row r="593" spans="1:6" x14ac:dyDescent="0.2">
      <c r="A593" s="1" t="s">
        <v>311</v>
      </c>
      <c r="F593" s="4"/>
    </row>
    <row r="594" spans="1:6" x14ac:dyDescent="0.2">
      <c r="A594" t="s">
        <v>764</v>
      </c>
      <c r="B594" t="s">
        <v>1</v>
      </c>
      <c r="C594" t="s">
        <v>1</v>
      </c>
      <c r="D594" t="s">
        <v>2</v>
      </c>
      <c r="E594" t="s">
        <v>29</v>
      </c>
      <c r="F594" s="4" t="s">
        <v>725</v>
      </c>
    </row>
    <row r="595" spans="1:6" x14ac:dyDescent="0.2">
      <c r="A595" t="s">
        <v>246</v>
      </c>
      <c r="B595" t="s">
        <v>1</v>
      </c>
      <c r="C595" t="s">
        <v>1</v>
      </c>
      <c r="D595" t="s">
        <v>2</v>
      </c>
      <c r="E595" t="s">
        <v>96</v>
      </c>
      <c r="F595" s="5" t="s">
        <v>38</v>
      </c>
    </row>
    <row r="596" spans="1:6" x14ac:dyDescent="0.2">
      <c r="A596" t="s">
        <v>765</v>
      </c>
      <c r="B596" t="s">
        <v>1</v>
      </c>
      <c r="C596" t="s">
        <v>1</v>
      </c>
      <c r="D596" t="s">
        <v>2</v>
      </c>
      <c r="E596" t="s">
        <v>29</v>
      </c>
      <c r="F596" s="4" t="s">
        <v>725</v>
      </c>
    </row>
    <row r="597" spans="1:6" x14ac:dyDescent="0.2">
      <c r="F597" s="4"/>
    </row>
    <row r="598" spans="1:6" x14ac:dyDescent="0.2">
      <c r="A598" s="1" t="s">
        <v>312</v>
      </c>
      <c r="F598" s="4"/>
    </row>
    <row r="599" spans="1:6" x14ac:dyDescent="0.2">
      <c r="A599" t="s">
        <v>247</v>
      </c>
      <c r="B599" t="s">
        <v>1</v>
      </c>
      <c r="C599" t="s">
        <v>1</v>
      </c>
      <c r="D599" t="s">
        <v>2</v>
      </c>
      <c r="E599" t="s">
        <v>29</v>
      </c>
      <c r="F599" s="4" t="s">
        <v>44</v>
      </c>
    </row>
    <row r="600" spans="1:6" x14ac:dyDescent="0.2">
      <c r="F600" s="4"/>
    </row>
    <row r="601" spans="1:6" x14ac:dyDescent="0.2">
      <c r="A601" s="1" t="s">
        <v>456</v>
      </c>
      <c r="F601" s="4"/>
    </row>
    <row r="602" spans="1:6" x14ac:dyDescent="0.2">
      <c r="A602" t="s">
        <v>455</v>
      </c>
      <c r="B602" t="s">
        <v>1</v>
      </c>
      <c r="C602" t="s">
        <v>2</v>
      </c>
      <c r="D602" t="s">
        <v>1</v>
      </c>
      <c r="E602" t="s">
        <v>31</v>
      </c>
      <c r="F602" s="4" t="s">
        <v>43</v>
      </c>
    </row>
    <row r="603" spans="1:6" x14ac:dyDescent="0.2">
      <c r="F603" s="4"/>
    </row>
    <row r="604" spans="1:6" x14ac:dyDescent="0.2">
      <c r="A604" s="1" t="s">
        <v>602</v>
      </c>
      <c r="F604" s="4"/>
    </row>
    <row r="605" spans="1:6" x14ac:dyDescent="0.2">
      <c r="A605" t="s">
        <v>603</v>
      </c>
      <c r="B605" t="s">
        <v>1</v>
      </c>
      <c r="C605" t="s">
        <v>2</v>
      </c>
      <c r="D605" t="s">
        <v>2</v>
      </c>
      <c r="E605" t="s">
        <v>31</v>
      </c>
      <c r="F605" s="4" t="s">
        <v>572</v>
      </c>
    </row>
    <row r="606" spans="1:6" x14ac:dyDescent="0.2">
      <c r="F606" s="4"/>
    </row>
    <row r="607" spans="1:6" x14ac:dyDescent="0.2">
      <c r="A607" s="1" t="s">
        <v>418</v>
      </c>
      <c r="F607" s="5"/>
    </row>
    <row r="608" spans="1:6" x14ac:dyDescent="0.2">
      <c r="A608" t="s">
        <v>393</v>
      </c>
      <c r="B608" t="s">
        <v>1</v>
      </c>
      <c r="C608" t="s">
        <v>2</v>
      </c>
      <c r="D608" t="s">
        <v>2</v>
      </c>
      <c r="E608" s="4" t="s">
        <v>137</v>
      </c>
      <c r="F608" s="5" t="s">
        <v>139</v>
      </c>
    </row>
    <row r="609" spans="1:6" x14ac:dyDescent="0.2">
      <c r="F609" s="4"/>
    </row>
    <row r="610" spans="1:6" x14ac:dyDescent="0.2">
      <c r="A610" s="1" t="s">
        <v>419</v>
      </c>
      <c r="F610" s="4"/>
    </row>
    <row r="611" spans="1:6" x14ac:dyDescent="0.2">
      <c r="A611" t="s">
        <v>394</v>
      </c>
      <c r="B611" t="s">
        <v>1</v>
      </c>
      <c r="C611" t="s">
        <v>1</v>
      </c>
      <c r="D611" t="s">
        <v>2</v>
      </c>
      <c r="E611" t="s">
        <v>84</v>
      </c>
      <c r="F611" s="5" t="s">
        <v>78</v>
      </c>
    </row>
    <row r="612" spans="1:6" x14ac:dyDescent="0.2">
      <c r="A612" t="s">
        <v>395</v>
      </c>
      <c r="B612" t="s">
        <v>2</v>
      </c>
      <c r="C612" t="s">
        <v>2</v>
      </c>
      <c r="D612" t="s">
        <v>2</v>
      </c>
      <c r="E612" t="s">
        <v>31</v>
      </c>
      <c r="F612" s="5" t="s">
        <v>78</v>
      </c>
    </row>
    <row r="613" spans="1:6" x14ac:dyDescent="0.2">
      <c r="F613" s="4"/>
    </row>
    <row r="614" spans="1:6" x14ac:dyDescent="0.2">
      <c r="A614" s="1" t="s">
        <v>420</v>
      </c>
      <c r="F614" s="4"/>
    </row>
    <row r="615" spans="1:6" x14ac:dyDescent="0.2">
      <c r="A615" t="s">
        <v>604</v>
      </c>
      <c r="B615" t="s">
        <v>2</v>
      </c>
      <c r="C615" t="s">
        <v>2</v>
      </c>
      <c r="D615" t="s">
        <v>2</v>
      </c>
      <c r="E615" t="s">
        <v>31</v>
      </c>
      <c r="F615" s="4" t="s">
        <v>572</v>
      </c>
    </row>
    <row r="616" spans="1:6" x14ac:dyDescent="0.2">
      <c r="A616" t="s">
        <v>396</v>
      </c>
      <c r="B616" t="s">
        <v>2</v>
      </c>
      <c r="C616" t="s">
        <v>2</v>
      </c>
      <c r="D616" t="s">
        <v>2</v>
      </c>
      <c r="E616" t="s">
        <v>31</v>
      </c>
      <c r="F616" s="5" t="s">
        <v>78</v>
      </c>
    </row>
    <row r="617" spans="1:6" x14ac:dyDescent="0.2">
      <c r="A617" t="s">
        <v>605</v>
      </c>
      <c r="B617" t="s">
        <v>2</v>
      </c>
      <c r="C617" t="s">
        <v>2</v>
      </c>
      <c r="D617" t="s">
        <v>2</v>
      </c>
      <c r="E617" t="s">
        <v>31</v>
      </c>
      <c r="F617" s="4" t="s">
        <v>572</v>
      </c>
    </row>
    <row r="618" spans="1:6" x14ac:dyDescent="0.2">
      <c r="F618" s="5"/>
    </row>
    <row r="619" spans="1:6" x14ac:dyDescent="0.2">
      <c r="A619" s="1" t="s">
        <v>592</v>
      </c>
      <c r="F619" s="4"/>
    </row>
    <row r="620" spans="1:6" x14ac:dyDescent="0.2">
      <c r="A620" t="s">
        <v>593</v>
      </c>
      <c r="B620" t="s">
        <v>2</v>
      </c>
      <c r="C620" t="s">
        <v>2</v>
      </c>
      <c r="D620" t="s">
        <v>2</v>
      </c>
      <c r="E620" t="s">
        <v>31</v>
      </c>
      <c r="F620" s="4" t="s">
        <v>572</v>
      </c>
    </row>
    <row r="621" spans="1:6" x14ac:dyDescent="0.2">
      <c r="F621" s="4"/>
    </row>
    <row r="622" spans="1:6" x14ac:dyDescent="0.2">
      <c r="A622" s="1" t="s">
        <v>336</v>
      </c>
      <c r="F622" s="4"/>
    </row>
    <row r="623" spans="1:6" x14ac:dyDescent="0.2">
      <c r="A623" t="s">
        <v>331</v>
      </c>
      <c r="B623" t="s">
        <v>2</v>
      </c>
      <c r="C623" t="s">
        <v>2</v>
      </c>
      <c r="D623" t="s">
        <v>1</v>
      </c>
      <c r="E623" t="s">
        <v>31</v>
      </c>
      <c r="F623" s="4" t="s">
        <v>77</v>
      </c>
    </row>
    <row r="624" spans="1:6" x14ac:dyDescent="0.2">
      <c r="F624" s="4"/>
    </row>
    <row r="625" spans="1:6" x14ac:dyDescent="0.2">
      <c r="A625" s="1" t="s">
        <v>313</v>
      </c>
      <c r="F625" s="4"/>
    </row>
    <row r="626" spans="1:6" x14ac:dyDescent="0.2">
      <c r="A626" t="s">
        <v>248</v>
      </c>
      <c r="B626" t="s">
        <v>1</v>
      </c>
      <c r="C626" t="s">
        <v>1</v>
      </c>
      <c r="D626" t="s">
        <v>2</v>
      </c>
      <c r="E626" t="s">
        <v>39</v>
      </c>
      <c r="F626" s="4" t="s">
        <v>64</v>
      </c>
    </row>
    <row r="627" spans="1:6" x14ac:dyDescent="0.2">
      <c r="A627" t="s">
        <v>249</v>
      </c>
      <c r="B627" t="s">
        <v>1</v>
      </c>
      <c r="C627" t="s">
        <v>1</v>
      </c>
      <c r="D627" t="s">
        <v>2</v>
      </c>
      <c r="E627" s="4" t="s">
        <v>75</v>
      </c>
      <c r="F627" s="4" t="s">
        <v>106</v>
      </c>
    </row>
    <row r="628" spans="1:6" x14ac:dyDescent="0.2">
      <c r="A628" t="s">
        <v>250</v>
      </c>
      <c r="B628" t="s">
        <v>1</v>
      </c>
      <c r="C628" t="s">
        <v>1</v>
      </c>
      <c r="D628" t="s">
        <v>2</v>
      </c>
      <c r="E628" t="s">
        <v>29</v>
      </c>
      <c r="F628" s="4" t="s">
        <v>64</v>
      </c>
    </row>
    <row r="629" spans="1:6" x14ac:dyDescent="0.2">
      <c r="A629" t="s">
        <v>251</v>
      </c>
      <c r="B629" t="s">
        <v>1</v>
      </c>
      <c r="C629" t="s">
        <v>1</v>
      </c>
      <c r="D629" t="s">
        <v>2</v>
      </c>
      <c r="E629" t="s">
        <v>29</v>
      </c>
      <c r="F629" s="4" t="s">
        <v>64</v>
      </c>
    </row>
    <row r="630" spans="1:6" x14ac:dyDescent="0.2">
      <c r="A630" t="s">
        <v>252</v>
      </c>
      <c r="B630" t="s">
        <v>1</v>
      </c>
      <c r="C630" t="s">
        <v>1</v>
      </c>
      <c r="D630" t="s">
        <v>2</v>
      </c>
      <c r="E630" t="s">
        <v>29</v>
      </c>
      <c r="F630" s="4" t="s">
        <v>64</v>
      </c>
    </row>
    <row r="631" spans="1:6" x14ac:dyDescent="0.2">
      <c r="A631" t="s">
        <v>253</v>
      </c>
      <c r="B631" t="s">
        <v>1</v>
      </c>
      <c r="C631" t="s">
        <v>1</v>
      </c>
      <c r="D631" t="s">
        <v>2</v>
      </c>
      <c r="E631" t="s">
        <v>29</v>
      </c>
      <c r="F631" s="4" t="s">
        <v>64</v>
      </c>
    </row>
    <row r="632" spans="1:6" x14ac:dyDescent="0.2">
      <c r="A632" t="s">
        <v>251</v>
      </c>
      <c r="B632" t="s">
        <v>1</v>
      </c>
      <c r="C632" t="s">
        <v>1</v>
      </c>
      <c r="D632" t="s">
        <v>2</v>
      </c>
      <c r="E632" t="s">
        <v>29</v>
      </c>
      <c r="F632" s="4" t="s">
        <v>64</v>
      </c>
    </row>
    <row r="633" spans="1:6" x14ac:dyDescent="0.2">
      <c r="A633" t="s">
        <v>254</v>
      </c>
      <c r="B633" t="s">
        <v>1</v>
      </c>
      <c r="C633" t="s">
        <v>1</v>
      </c>
      <c r="D633" t="s">
        <v>2</v>
      </c>
      <c r="E633" t="s">
        <v>29</v>
      </c>
      <c r="F633" s="4" t="s">
        <v>64</v>
      </c>
    </row>
    <row r="634" spans="1:6" x14ac:dyDescent="0.2">
      <c r="A634" t="s">
        <v>255</v>
      </c>
      <c r="B634" t="s">
        <v>1</v>
      </c>
      <c r="C634" t="s">
        <v>2</v>
      </c>
      <c r="D634" t="s">
        <v>2</v>
      </c>
      <c r="E634" t="s">
        <v>107</v>
      </c>
      <c r="F634" s="4" t="s">
        <v>108</v>
      </c>
    </row>
    <row r="635" spans="1:6" x14ac:dyDescent="0.2">
      <c r="A635" t="s">
        <v>256</v>
      </c>
      <c r="B635" t="s">
        <v>1</v>
      </c>
      <c r="C635" t="s">
        <v>1</v>
      </c>
      <c r="D635" t="s">
        <v>2</v>
      </c>
      <c r="E635" t="s">
        <v>29</v>
      </c>
      <c r="F635" s="4" t="s">
        <v>130</v>
      </c>
    </row>
    <row r="636" spans="1:6" x14ac:dyDescent="0.2">
      <c r="A636" t="s">
        <v>257</v>
      </c>
      <c r="B636" t="s">
        <v>2</v>
      </c>
      <c r="C636" t="s">
        <v>2</v>
      </c>
      <c r="D636" t="s">
        <v>2</v>
      </c>
      <c r="E636" s="4" t="s">
        <v>133</v>
      </c>
      <c r="F636" s="4" t="s">
        <v>130</v>
      </c>
    </row>
    <row r="637" spans="1:6" x14ac:dyDescent="0.2">
      <c r="F637" s="4"/>
    </row>
    <row r="638" spans="1:6" x14ac:dyDescent="0.2">
      <c r="A638" s="1" t="s">
        <v>314</v>
      </c>
      <c r="F638" s="4"/>
    </row>
    <row r="639" spans="1:6" x14ac:dyDescent="0.2">
      <c r="A639" t="s">
        <v>258</v>
      </c>
      <c r="B639" t="s">
        <v>1</v>
      </c>
      <c r="C639" t="s">
        <v>1</v>
      </c>
      <c r="D639" t="s">
        <v>2</v>
      </c>
      <c r="E639" t="s">
        <v>31</v>
      </c>
      <c r="F639" s="4" t="s">
        <v>30</v>
      </c>
    </row>
    <row r="640" spans="1:6" x14ac:dyDescent="0.2">
      <c r="A640" t="s">
        <v>259</v>
      </c>
      <c r="B640" t="s">
        <v>2</v>
      </c>
      <c r="C640" t="s">
        <v>2</v>
      </c>
      <c r="D640" t="s">
        <v>1</v>
      </c>
      <c r="E640" s="2" t="s">
        <v>31</v>
      </c>
      <c r="F640" s="5" t="s">
        <v>79</v>
      </c>
    </row>
    <row r="641" spans="1:6" x14ac:dyDescent="0.2">
      <c r="F641" s="4"/>
    </row>
    <row r="642" spans="1:6" x14ac:dyDescent="0.2">
      <c r="A642" s="1" t="s">
        <v>315</v>
      </c>
      <c r="F642" s="4"/>
    </row>
    <row r="643" spans="1:6" x14ac:dyDescent="0.2">
      <c r="A643" t="s">
        <v>260</v>
      </c>
      <c r="B643" t="s">
        <v>1</v>
      </c>
      <c r="C643" t="s">
        <v>1</v>
      </c>
      <c r="D643" t="s">
        <v>2</v>
      </c>
      <c r="E643" t="s">
        <v>41</v>
      </c>
      <c r="F643" s="5" t="s">
        <v>38</v>
      </c>
    </row>
    <row r="644" spans="1:6" x14ac:dyDescent="0.2">
      <c r="F644" s="5"/>
    </row>
    <row r="645" spans="1:6" x14ac:dyDescent="0.2">
      <c r="A645" s="1" t="s">
        <v>608</v>
      </c>
      <c r="F645" s="4"/>
    </row>
    <row r="646" spans="1:6" x14ac:dyDescent="0.2">
      <c r="A646" t="s">
        <v>609</v>
      </c>
      <c r="B646" t="s">
        <v>2</v>
      </c>
      <c r="C646" t="s">
        <v>2</v>
      </c>
      <c r="D646" t="s">
        <v>2</v>
      </c>
      <c r="E646" t="s">
        <v>31</v>
      </c>
      <c r="F646" s="4" t="s">
        <v>572</v>
      </c>
    </row>
    <row r="647" spans="1:6" x14ac:dyDescent="0.2">
      <c r="F647" s="4"/>
    </row>
    <row r="648" spans="1:6" x14ac:dyDescent="0.2">
      <c r="A648" t="s">
        <v>669</v>
      </c>
      <c r="F648" s="4"/>
    </row>
    <row r="649" spans="1:6" x14ac:dyDescent="0.2">
      <c r="A649" t="s">
        <v>670</v>
      </c>
      <c r="B649" t="s">
        <v>1</v>
      </c>
      <c r="C649" t="s">
        <v>2</v>
      </c>
      <c r="D649" t="s">
        <v>2</v>
      </c>
      <c r="E649" s="4" t="s">
        <v>673</v>
      </c>
      <c r="F649" s="4" t="s">
        <v>671</v>
      </c>
    </row>
    <row r="650" spans="1:6" x14ac:dyDescent="0.2">
      <c r="F650" s="5"/>
    </row>
    <row r="651" spans="1:6" x14ac:dyDescent="0.2">
      <c r="A651" s="1" t="s">
        <v>316</v>
      </c>
      <c r="F651" s="5"/>
    </row>
    <row r="652" spans="1:6" x14ac:dyDescent="0.2">
      <c r="A652" t="s">
        <v>261</v>
      </c>
      <c r="B652" t="s">
        <v>1</v>
      </c>
      <c r="C652" t="s">
        <v>1</v>
      </c>
      <c r="D652" t="s">
        <v>2</v>
      </c>
      <c r="E652" t="s">
        <v>84</v>
      </c>
      <c r="F652" s="5" t="s">
        <v>130</v>
      </c>
    </row>
    <row r="653" spans="1:6" x14ac:dyDescent="0.2">
      <c r="F653" s="4"/>
    </row>
    <row r="654" spans="1:6" x14ac:dyDescent="0.2">
      <c r="A654" s="1" t="s">
        <v>421</v>
      </c>
      <c r="F654" s="4"/>
    </row>
    <row r="655" spans="1:6" x14ac:dyDescent="0.2">
      <c r="A655" t="s">
        <v>397</v>
      </c>
      <c r="B655" t="s">
        <v>1</v>
      </c>
      <c r="C655" t="s">
        <v>1</v>
      </c>
      <c r="D655" t="s">
        <v>2</v>
      </c>
      <c r="E655" t="s">
        <v>29</v>
      </c>
      <c r="F655" s="5" t="s">
        <v>78</v>
      </c>
    </row>
    <row r="656" spans="1:6" x14ac:dyDescent="0.2">
      <c r="F656" s="5"/>
    </row>
    <row r="657" spans="1:6" x14ac:dyDescent="0.2">
      <c r="A657" s="1" t="s">
        <v>556</v>
      </c>
      <c r="F657" s="4"/>
    </row>
    <row r="658" spans="1:6" x14ac:dyDescent="0.2">
      <c r="A658" t="s">
        <v>557</v>
      </c>
      <c r="B658" t="s">
        <v>1</v>
      </c>
      <c r="C658" t="s">
        <v>1</v>
      </c>
      <c r="D658" t="s">
        <v>2</v>
      </c>
      <c r="E658" t="s">
        <v>84</v>
      </c>
      <c r="F658" s="4" t="s">
        <v>558</v>
      </c>
    </row>
    <row r="659" spans="1:6" x14ac:dyDescent="0.2">
      <c r="F659" s="4"/>
    </row>
    <row r="660" spans="1:6" x14ac:dyDescent="0.2">
      <c r="A660" s="1" t="s">
        <v>663</v>
      </c>
    </row>
    <row r="661" spans="1:6" x14ac:dyDescent="0.2">
      <c r="A661" t="s">
        <v>662</v>
      </c>
      <c r="B661" t="s">
        <v>1</v>
      </c>
      <c r="C661" t="s">
        <v>2</v>
      </c>
      <c r="D661" t="s">
        <v>1</v>
      </c>
      <c r="E661" t="s">
        <v>31</v>
      </c>
      <c r="F661" s="4" t="s">
        <v>661</v>
      </c>
    </row>
    <row r="662" spans="1:6" x14ac:dyDescent="0.2">
      <c r="F662" s="4"/>
    </row>
    <row r="663" spans="1:6" x14ac:dyDescent="0.2">
      <c r="A663" s="1" t="s">
        <v>317</v>
      </c>
      <c r="F663" s="4"/>
    </row>
    <row r="664" spans="1:6" x14ac:dyDescent="0.2">
      <c r="A664" t="s">
        <v>262</v>
      </c>
      <c r="B664" t="s">
        <v>2</v>
      </c>
      <c r="C664" t="s">
        <v>2</v>
      </c>
      <c r="D664" t="s">
        <v>2</v>
      </c>
      <c r="E664" t="s">
        <v>31</v>
      </c>
      <c r="F664" s="5" t="s">
        <v>38</v>
      </c>
    </row>
    <row r="665" spans="1:6" ht="17" customHeight="1" x14ac:dyDescent="0.2">
      <c r="F665" s="4"/>
    </row>
    <row r="666" spans="1:6" x14ac:dyDescent="0.2">
      <c r="A666" s="1" t="s">
        <v>522</v>
      </c>
      <c r="F666" s="4"/>
    </row>
    <row r="667" spans="1:6" x14ac:dyDescent="0.2">
      <c r="A667" t="s">
        <v>501</v>
      </c>
      <c r="B667" t="s">
        <v>1</v>
      </c>
      <c r="C667" t="s">
        <v>1</v>
      </c>
      <c r="D667" t="s">
        <v>2</v>
      </c>
      <c r="E667" t="s">
        <v>94</v>
      </c>
      <c r="F667" s="4" t="s">
        <v>46</v>
      </c>
    </row>
    <row r="668" spans="1:6" x14ac:dyDescent="0.2">
      <c r="A668" t="s">
        <v>502</v>
      </c>
      <c r="B668" t="s">
        <v>1</v>
      </c>
      <c r="C668" t="s">
        <v>1</v>
      </c>
      <c r="D668" t="s">
        <v>2</v>
      </c>
      <c r="E668" t="s">
        <v>39</v>
      </c>
      <c r="F668" s="4" t="s">
        <v>46</v>
      </c>
    </row>
    <row r="669" spans="1:6" x14ac:dyDescent="0.2">
      <c r="A669" t="s">
        <v>503</v>
      </c>
      <c r="B669" t="s">
        <v>1</v>
      </c>
      <c r="C669" t="s">
        <v>1</v>
      </c>
      <c r="D669" t="s">
        <v>2</v>
      </c>
      <c r="E669" t="s">
        <v>94</v>
      </c>
      <c r="F669" s="4" t="s">
        <v>46</v>
      </c>
    </row>
    <row r="670" spans="1:6" x14ac:dyDescent="0.2">
      <c r="A670" t="s">
        <v>504</v>
      </c>
      <c r="B670" t="s">
        <v>1</v>
      </c>
      <c r="C670" t="s">
        <v>2</v>
      </c>
      <c r="D670" t="s">
        <v>1</v>
      </c>
      <c r="E670" t="s">
        <v>31</v>
      </c>
      <c r="F670" s="4" t="s">
        <v>72</v>
      </c>
    </row>
    <row r="671" spans="1:6" x14ac:dyDescent="0.2">
      <c r="A671" t="s">
        <v>505</v>
      </c>
      <c r="B671" t="s">
        <v>1</v>
      </c>
      <c r="C671" t="s">
        <v>1</v>
      </c>
      <c r="D671" t="s">
        <v>2</v>
      </c>
      <c r="E671" t="s">
        <v>29</v>
      </c>
      <c r="F671" s="4" t="s">
        <v>46</v>
      </c>
    </row>
    <row r="672" spans="1:6" x14ac:dyDescent="0.2">
      <c r="F672" s="4"/>
    </row>
    <row r="673" spans="1:8" x14ac:dyDescent="0.2">
      <c r="A673" s="1" t="s">
        <v>523</v>
      </c>
      <c r="F673" s="4"/>
    </row>
    <row r="674" spans="1:8" x14ac:dyDescent="0.2">
      <c r="A674" t="s">
        <v>506</v>
      </c>
      <c r="B674" t="s">
        <v>1</v>
      </c>
      <c r="C674" t="s">
        <v>1</v>
      </c>
      <c r="D674" t="s">
        <v>2</v>
      </c>
      <c r="E674" s="2" t="s">
        <v>73</v>
      </c>
      <c r="F674" s="5" t="s">
        <v>46</v>
      </c>
    </row>
    <row r="675" spans="1:8" x14ac:dyDescent="0.2">
      <c r="F675" s="4"/>
    </row>
    <row r="676" spans="1:8" x14ac:dyDescent="0.2">
      <c r="A676" s="1" t="s">
        <v>318</v>
      </c>
      <c r="F676" s="4"/>
    </row>
    <row r="677" spans="1:8" x14ac:dyDescent="0.2">
      <c r="A677" t="s">
        <v>263</v>
      </c>
      <c r="B677" t="s">
        <v>1</v>
      </c>
      <c r="C677" t="s">
        <v>1</v>
      </c>
      <c r="D677" t="s">
        <v>2</v>
      </c>
      <c r="E677" t="s">
        <v>29</v>
      </c>
      <c r="F677" s="4" t="s">
        <v>44</v>
      </c>
    </row>
    <row r="678" spans="1:8" x14ac:dyDescent="0.2">
      <c r="A678" t="s">
        <v>264</v>
      </c>
      <c r="B678" t="s">
        <v>1</v>
      </c>
      <c r="C678" t="s">
        <v>2</v>
      </c>
      <c r="D678" t="s">
        <v>2</v>
      </c>
      <c r="E678" t="s">
        <v>128</v>
      </c>
      <c r="F678" s="4" t="s">
        <v>129</v>
      </c>
    </row>
    <row r="679" spans="1:8" x14ac:dyDescent="0.2">
      <c r="A679" t="s">
        <v>652</v>
      </c>
      <c r="B679" t="s">
        <v>2</v>
      </c>
      <c r="C679" t="s">
        <v>2</v>
      </c>
      <c r="D679" t="s">
        <v>2</v>
      </c>
      <c r="E679" t="s">
        <v>31</v>
      </c>
      <c r="F679" s="4" t="s">
        <v>558</v>
      </c>
    </row>
    <row r="680" spans="1:8" x14ac:dyDescent="0.2">
      <c r="F680" s="4"/>
    </row>
    <row r="681" spans="1:8" x14ac:dyDescent="0.2">
      <c r="A681" s="1" t="s">
        <v>712</v>
      </c>
      <c r="F681" s="4"/>
    </row>
    <row r="682" spans="1:8" x14ac:dyDescent="0.2">
      <c r="A682" t="s">
        <v>711</v>
      </c>
      <c r="B682" t="s">
        <v>1</v>
      </c>
      <c r="C682" t="s">
        <v>1</v>
      </c>
      <c r="D682" t="s">
        <v>2</v>
      </c>
      <c r="E682" t="s">
        <v>689</v>
      </c>
      <c r="F682" s="5" t="s">
        <v>690</v>
      </c>
    </row>
    <row r="683" spans="1:8" x14ac:dyDescent="0.2">
      <c r="F683" s="5"/>
      <c r="G683" s="1"/>
      <c r="H683" s="1"/>
    </row>
    <row r="684" spans="1:8" x14ac:dyDescent="0.2">
      <c r="A684" s="1" t="s">
        <v>452</v>
      </c>
      <c r="F684" s="4"/>
    </row>
    <row r="685" spans="1:8" x14ac:dyDescent="0.2">
      <c r="A685" t="s">
        <v>435</v>
      </c>
      <c r="B685" t="s">
        <v>1</v>
      </c>
      <c r="C685" t="s">
        <v>2</v>
      </c>
      <c r="D685" t="s">
        <v>1</v>
      </c>
      <c r="E685" t="s">
        <v>31</v>
      </c>
      <c r="F685" s="4" t="s">
        <v>67</v>
      </c>
      <c r="G685" s="1"/>
      <c r="H685" s="1"/>
    </row>
    <row r="686" spans="1:8" x14ac:dyDescent="0.2">
      <c r="A686" t="s">
        <v>436</v>
      </c>
      <c r="B686" t="s">
        <v>1</v>
      </c>
      <c r="C686" t="s">
        <v>1</v>
      </c>
      <c r="D686" t="s">
        <v>2</v>
      </c>
      <c r="E686" t="s">
        <v>32</v>
      </c>
      <c r="F686" s="5" t="s">
        <v>74</v>
      </c>
    </row>
    <row r="687" spans="1:8" x14ac:dyDescent="0.2">
      <c r="A687" t="s">
        <v>437</v>
      </c>
      <c r="B687" t="s">
        <v>1</v>
      </c>
      <c r="C687" t="s">
        <v>1</v>
      </c>
      <c r="D687" t="s">
        <v>2</v>
      </c>
      <c r="E687" t="s">
        <v>39</v>
      </c>
      <c r="F687" s="18" t="s">
        <v>66</v>
      </c>
    </row>
    <row r="688" spans="1:8" x14ac:dyDescent="0.2">
      <c r="A688" t="s">
        <v>438</v>
      </c>
      <c r="B688" t="s">
        <v>1</v>
      </c>
      <c r="C688" t="s">
        <v>2</v>
      </c>
      <c r="D688" t="s">
        <v>1</v>
      </c>
      <c r="E688" t="s">
        <v>31</v>
      </c>
      <c r="F688" s="4" t="s">
        <v>109</v>
      </c>
    </row>
    <row r="689" spans="1:6" x14ac:dyDescent="0.2">
      <c r="A689" t="s">
        <v>439</v>
      </c>
      <c r="B689" t="s">
        <v>2</v>
      </c>
      <c r="C689" t="s">
        <v>2</v>
      </c>
      <c r="D689" t="s">
        <v>1</v>
      </c>
      <c r="E689" t="s">
        <v>31</v>
      </c>
      <c r="F689" s="4" t="s">
        <v>110</v>
      </c>
    </row>
    <row r="690" spans="1:6" x14ac:dyDescent="0.2">
      <c r="A690" t="s">
        <v>440</v>
      </c>
      <c r="B690" t="s">
        <v>2</v>
      </c>
      <c r="C690" t="s">
        <v>2</v>
      </c>
      <c r="D690" t="s">
        <v>1</v>
      </c>
      <c r="E690" t="s">
        <v>31</v>
      </c>
      <c r="F690" s="4" t="s">
        <v>110</v>
      </c>
    </row>
    <row r="691" spans="1:6" x14ac:dyDescent="0.2">
      <c r="A691" t="s">
        <v>441</v>
      </c>
      <c r="B691" t="s">
        <v>1</v>
      </c>
      <c r="C691" t="s">
        <v>2</v>
      </c>
      <c r="D691" t="s">
        <v>1</v>
      </c>
      <c r="E691" t="s">
        <v>31</v>
      </c>
      <c r="F691" s="4" t="s">
        <v>99</v>
      </c>
    </row>
    <row r="692" spans="1:6" x14ac:dyDescent="0.2">
      <c r="A692" t="s">
        <v>442</v>
      </c>
      <c r="B692" t="s">
        <v>2</v>
      </c>
      <c r="C692" t="s">
        <v>2</v>
      </c>
      <c r="D692" t="s">
        <v>1</v>
      </c>
      <c r="E692" t="s">
        <v>31</v>
      </c>
      <c r="F692" s="4" t="s">
        <v>67</v>
      </c>
    </row>
    <row r="693" spans="1:6" x14ac:dyDescent="0.2">
      <c r="A693" t="s">
        <v>443</v>
      </c>
      <c r="B693" t="s">
        <v>1</v>
      </c>
      <c r="C693" t="s">
        <v>2</v>
      </c>
      <c r="D693" t="s">
        <v>1</v>
      </c>
      <c r="E693" t="s">
        <v>31</v>
      </c>
      <c r="F693" s="4" t="s">
        <v>99</v>
      </c>
    </row>
    <row r="694" spans="1:6" x14ac:dyDescent="0.2">
      <c r="A694" t="s">
        <v>444</v>
      </c>
      <c r="B694" t="s">
        <v>1</v>
      </c>
      <c r="C694" t="s">
        <v>2</v>
      </c>
      <c r="D694" t="s">
        <v>1</v>
      </c>
      <c r="E694" t="s">
        <v>31</v>
      </c>
      <c r="F694" s="4" t="s">
        <v>111</v>
      </c>
    </row>
    <row r="695" spans="1:6" x14ac:dyDescent="0.2">
      <c r="F695" s="4"/>
    </row>
    <row r="696" spans="1:6" x14ac:dyDescent="0.2">
      <c r="A696" s="1" t="s">
        <v>265</v>
      </c>
      <c r="F696" s="4"/>
    </row>
    <row r="697" spans="1:6" x14ac:dyDescent="0.2">
      <c r="A697" t="s">
        <v>266</v>
      </c>
      <c r="B697" t="s">
        <v>1</v>
      </c>
      <c r="C697" t="s">
        <v>1</v>
      </c>
      <c r="D697" t="s">
        <v>2</v>
      </c>
      <c r="E697" t="s">
        <v>45</v>
      </c>
      <c r="F697" s="4" t="s">
        <v>120</v>
      </c>
    </row>
    <row r="698" spans="1:6" x14ac:dyDescent="0.2">
      <c r="F698" s="4"/>
    </row>
    <row r="699" spans="1:6" x14ac:dyDescent="0.2">
      <c r="A699" s="1" t="s">
        <v>319</v>
      </c>
      <c r="F699" s="4"/>
    </row>
    <row r="700" spans="1:6" x14ac:dyDescent="0.2">
      <c r="A700" t="s">
        <v>267</v>
      </c>
      <c r="B700" t="s">
        <v>2</v>
      </c>
      <c r="C700" t="s">
        <v>2</v>
      </c>
      <c r="D700" t="s">
        <v>2</v>
      </c>
      <c r="E700" t="s">
        <v>31</v>
      </c>
      <c r="F700" s="5" t="s">
        <v>38</v>
      </c>
    </row>
    <row r="701" spans="1:6" x14ac:dyDescent="0.2">
      <c r="F701" s="4"/>
    </row>
    <row r="702" spans="1:6" x14ac:dyDescent="0.2">
      <c r="A702" s="1" t="s">
        <v>422</v>
      </c>
      <c r="F702" s="4"/>
    </row>
    <row r="703" spans="1:6" x14ac:dyDescent="0.2">
      <c r="A703" t="s">
        <v>398</v>
      </c>
      <c r="B703" t="s">
        <v>1</v>
      </c>
      <c r="C703" t="s">
        <v>2</v>
      </c>
      <c r="D703" t="s">
        <v>2</v>
      </c>
      <c r="E703" s="4" t="s">
        <v>60</v>
      </c>
      <c r="F703" s="4" t="s">
        <v>61</v>
      </c>
    </row>
    <row r="704" spans="1:6" x14ac:dyDescent="0.2">
      <c r="E704" s="4"/>
      <c r="F704" s="4"/>
    </row>
    <row r="705" spans="1:6" x14ac:dyDescent="0.2">
      <c r="A705" s="1" t="s">
        <v>268</v>
      </c>
      <c r="E705" s="4"/>
      <c r="F705" s="4"/>
    </row>
    <row r="706" spans="1:6" x14ac:dyDescent="0.2">
      <c r="A706" t="s">
        <v>269</v>
      </c>
      <c r="B706" t="s">
        <v>1</v>
      </c>
      <c r="C706" t="s">
        <v>1</v>
      </c>
      <c r="D706" t="s">
        <v>2</v>
      </c>
      <c r="E706" s="8" t="s">
        <v>122</v>
      </c>
      <c r="F706" s="4" t="s">
        <v>120</v>
      </c>
    </row>
    <row r="707" spans="1:6" x14ac:dyDescent="0.2">
      <c r="F707" s="4"/>
    </row>
    <row r="708" spans="1:6" x14ac:dyDescent="0.2">
      <c r="A708" s="1" t="s">
        <v>453</v>
      </c>
      <c r="F708" s="4"/>
    </row>
    <row r="709" spans="1:6" x14ac:dyDescent="0.2">
      <c r="A709" t="s">
        <v>445</v>
      </c>
      <c r="B709" t="s">
        <v>1</v>
      </c>
      <c r="C709" t="s">
        <v>2</v>
      </c>
      <c r="D709" t="s">
        <v>1</v>
      </c>
      <c r="E709" t="s">
        <v>31</v>
      </c>
      <c r="F709" s="4" t="s">
        <v>97</v>
      </c>
    </row>
    <row r="710" spans="1:6" x14ac:dyDescent="0.2">
      <c r="F710" s="4"/>
    </row>
    <row r="711" spans="1:6" x14ac:dyDescent="0.2">
      <c r="A711" s="1" t="s">
        <v>320</v>
      </c>
      <c r="E711" s="8"/>
      <c r="F711" s="4"/>
    </row>
    <row r="712" spans="1:6" x14ac:dyDescent="0.2">
      <c r="A712" t="s">
        <v>270</v>
      </c>
      <c r="B712" t="s">
        <v>1</v>
      </c>
      <c r="C712" t="s">
        <v>1</v>
      </c>
      <c r="D712" t="s">
        <v>2</v>
      </c>
      <c r="E712" s="8" t="s">
        <v>29</v>
      </c>
      <c r="F712" s="4" t="s">
        <v>130</v>
      </c>
    </row>
    <row r="713" spans="1:6" x14ac:dyDescent="0.2">
      <c r="F713" s="4"/>
    </row>
    <row r="714" spans="1:6" x14ac:dyDescent="0.2">
      <c r="A714" s="1" t="s">
        <v>337</v>
      </c>
      <c r="F714" s="4"/>
    </row>
    <row r="715" spans="1:6" x14ac:dyDescent="0.2">
      <c r="A715" t="s">
        <v>332</v>
      </c>
      <c r="B715" t="s">
        <v>1</v>
      </c>
      <c r="C715" t="s">
        <v>1</v>
      </c>
      <c r="D715" t="s">
        <v>2</v>
      </c>
      <c r="E715" t="s">
        <v>52</v>
      </c>
      <c r="F715" s="4" t="s">
        <v>53</v>
      </c>
    </row>
    <row r="716" spans="1:6" x14ac:dyDescent="0.2">
      <c r="F716" s="4"/>
    </row>
    <row r="717" spans="1:6" x14ac:dyDescent="0.2">
      <c r="A717" t="s">
        <v>738</v>
      </c>
      <c r="F717" s="4"/>
    </row>
    <row r="718" spans="1:6" x14ac:dyDescent="0.2">
      <c r="A718" t="s">
        <v>740</v>
      </c>
      <c r="B718" t="s">
        <v>2</v>
      </c>
      <c r="C718" t="s">
        <v>2</v>
      </c>
      <c r="D718" t="s">
        <v>2</v>
      </c>
      <c r="E718" t="s">
        <v>31</v>
      </c>
      <c r="F718" s="4" t="s">
        <v>725</v>
      </c>
    </row>
    <row r="719" spans="1:6" x14ac:dyDescent="0.2">
      <c r="A719" t="s">
        <v>741</v>
      </c>
      <c r="B719" t="s">
        <v>1</v>
      </c>
      <c r="C719" t="s">
        <v>1</v>
      </c>
      <c r="D719" t="s">
        <v>2</v>
      </c>
      <c r="E719" t="s">
        <v>29</v>
      </c>
      <c r="F719" s="4" t="s">
        <v>725</v>
      </c>
    </row>
    <row r="720" spans="1:6" x14ac:dyDescent="0.2">
      <c r="F720" s="4"/>
    </row>
    <row r="721" spans="1:7" x14ac:dyDescent="0.2">
      <c r="A721" s="1" t="s">
        <v>321</v>
      </c>
      <c r="F721" s="4"/>
    </row>
    <row r="722" spans="1:7" x14ac:dyDescent="0.2">
      <c r="A722" t="s">
        <v>143</v>
      </c>
      <c r="B722" t="s">
        <v>2</v>
      </c>
      <c r="C722" t="s">
        <v>2</v>
      </c>
      <c r="D722" t="s">
        <v>2</v>
      </c>
      <c r="E722" t="s">
        <v>31</v>
      </c>
      <c r="F722" s="5" t="s">
        <v>38</v>
      </c>
      <c r="G722" s="2"/>
    </row>
    <row r="723" spans="1:7" x14ac:dyDescent="0.2">
      <c r="F723" s="4"/>
      <c r="G723" s="2"/>
    </row>
    <row r="724" spans="1:7" x14ac:dyDescent="0.2">
      <c r="A724" s="1" t="s">
        <v>454</v>
      </c>
      <c r="F724" s="4"/>
    </row>
    <row r="725" spans="1:7" x14ac:dyDescent="0.2">
      <c r="A725" t="s">
        <v>446</v>
      </c>
      <c r="B725" t="s">
        <v>1</v>
      </c>
      <c r="C725" t="s">
        <v>1</v>
      </c>
      <c r="D725" t="s">
        <v>2</v>
      </c>
      <c r="E725" t="s">
        <v>39</v>
      </c>
      <c r="F725" s="4" t="s">
        <v>57</v>
      </c>
    </row>
    <row r="726" spans="1:7" x14ac:dyDescent="0.2">
      <c r="F726" s="4"/>
    </row>
    <row r="727" spans="1:7" x14ac:dyDescent="0.2">
      <c r="A727" s="1" t="s">
        <v>423</v>
      </c>
      <c r="F727" s="4"/>
    </row>
    <row r="728" spans="1:7" x14ac:dyDescent="0.2">
      <c r="A728" t="s">
        <v>399</v>
      </c>
      <c r="B728" t="s">
        <v>1</v>
      </c>
      <c r="C728" t="s">
        <v>1</v>
      </c>
      <c r="D728" t="s">
        <v>2</v>
      </c>
      <c r="E728" t="s">
        <v>29</v>
      </c>
      <c r="F728" s="5" t="s">
        <v>78</v>
      </c>
    </row>
    <row r="729" spans="1:7" x14ac:dyDescent="0.2">
      <c r="F729" s="5"/>
    </row>
    <row r="730" spans="1:7" x14ac:dyDescent="0.2">
      <c r="A730" s="1" t="s">
        <v>651</v>
      </c>
      <c r="F730" s="5"/>
    </row>
    <row r="731" spans="1:7" x14ac:dyDescent="0.2">
      <c r="A731" t="s">
        <v>650</v>
      </c>
      <c r="B731" t="s">
        <v>2</v>
      </c>
      <c r="C731" t="s">
        <v>2</v>
      </c>
      <c r="D731" t="s">
        <v>2</v>
      </c>
      <c r="E731" t="s">
        <v>31</v>
      </c>
      <c r="F731" s="4" t="s">
        <v>558</v>
      </c>
    </row>
    <row r="732" spans="1:7" x14ac:dyDescent="0.2">
      <c r="F732" s="5"/>
    </row>
    <row r="733" spans="1:7" x14ac:dyDescent="0.2">
      <c r="A733" s="1" t="s">
        <v>648</v>
      </c>
      <c r="F733" s="5"/>
    </row>
    <row r="734" spans="1:7" x14ac:dyDescent="0.2">
      <c r="A734" t="s">
        <v>649</v>
      </c>
      <c r="B734" t="s">
        <v>2</v>
      </c>
      <c r="C734" t="s">
        <v>2</v>
      </c>
      <c r="D734" t="s">
        <v>2</v>
      </c>
      <c r="E734" t="s">
        <v>31</v>
      </c>
      <c r="F734" s="4" t="s">
        <v>558</v>
      </c>
    </row>
    <row r="735" spans="1:7" x14ac:dyDescent="0.2">
      <c r="F735" s="5"/>
    </row>
    <row r="736" spans="1:7" x14ac:dyDescent="0.2">
      <c r="A736" s="1" t="s">
        <v>635</v>
      </c>
      <c r="E736" s="2"/>
      <c r="F736" s="5"/>
    </row>
    <row r="737" spans="1:6" x14ac:dyDescent="0.2">
      <c r="A737" t="s">
        <v>636</v>
      </c>
      <c r="B737" t="s">
        <v>2</v>
      </c>
      <c r="C737" t="s">
        <v>2</v>
      </c>
      <c r="D737" t="s">
        <v>2</v>
      </c>
      <c r="E737" s="2" t="s">
        <v>31</v>
      </c>
      <c r="F737" s="4" t="s">
        <v>558</v>
      </c>
    </row>
    <row r="738" spans="1:6" x14ac:dyDescent="0.2">
      <c r="F738" s="4"/>
    </row>
    <row r="739" spans="1:6" x14ac:dyDescent="0.2">
      <c r="A739" s="1" t="s">
        <v>525</v>
      </c>
      <c r="F739" s="4"/>
    </row>
    <row r="740" spans="1:6" x14ac:dyDescent="0.2">
      <c r="A740" t="s">
        <v>524</v>
      </c>
      <c r="B740" t="s">
        <v>1</v>
      </c>
      <c r="C740" t="s">
        <v>2</v>
      </c>
      <c r="D740" t="s">
        <v>1</v>
      </c>
      <c r="E740" t="s">
        <v>31</v>
      </c>
      <c r="F740" s="4" t="s">
        <v>43</v>
      </c>
    </row>
    <row r="741" spans="1:6" x14ac:dyDescent="0.2">
      <c r="F741" s="4"/>
    </row>
    <row r="742" spans="1:6" x14ac:dyDescent="0.2">
      <c r="A742" s="1" t="s">
        <v>610</v>
      </c>
      <c r="F742" s="5"/>
    </row>
    <row r="743" spans="1:6" x14ac:dyDescent="0.2">
      <c r="A743" t="s">
        <v>617</v>
      </c>
      <c r="B743" t="s">
        <v>1</v>
      </c>
      <c r="C743" t="s">
        <v>1</v>
      </c>
      <c r="D743" t="s">
        <v>2</v>
      </c>
      <c r="E743" t="s">
        <v>84</v>
      </c>
      <c r="F743" s="4" t="s">
        <v>616</v>
      </c>
    </row>
    <row r="744" spans="1:6" x14ac:dyDescent="0.2">
      <c r="A744" t="s">
        <v>611</v>
      </c>
      <c r="B744" t="s">
        <v>2</v>
      </c>
      <c r="C744" t="s">
        <v>2</v>
      </c>
      <c r="D744" t="s">
        <v>2</v>
      </c>
      <c r="E744" t="s">
        <v>31</v>
      </c>
      <c r="F744" s="4" t="s">
        <v>572</v>
      </c>
    </row>
    <row r="745" spans="1:6" x14ac:dyDescent="0.2">
      <c r="F745" s="4"/>
    </row>
    <row r="746" spans="1:6" x14ac:dyDescent="0.2">
      <c r="A746" s="1" t="s">
        <v>757</v>
      </c>
      <c r="F746" s="4"/>
    </row>
    <row r="747" spans="1:6" x14ac:dyDescent="0.2">
      <c r="A747" t="s">
        <v>579</v>
      </c>
      <c r="B747" t="s">
        <v>1</v>
      </c>
      <c r="C747" t="s">
        <v>2</v>
      </c>
      <c r="D747" t="s">
        <v>2</v>
      </c>
      <c r="E747" t="s">
        <v>31</v>
      </c>
      <c r="F747" s="4" t="s">
        <v>558</v>
      </c>
    </row>
    <row r="748" spans="1:6" x14ac:dyDescent="0.2">
      <c r="F748" s="4"/>
    </row>
    <row r="749" spans="1:6" x14ac:dyDescent="0.2">
      <c r="A749" s="1" t="s">
        <v>361</v>
      </c>
      <c r="F749" s="4"/>
    </row>
    <row r="750" spans="1:6" x14ac:dyDescent="0.2">
      <c r="A750" t="s">
        <v>351</v>
      </c>
      <c r="B750" t="s">
        <v>1</v>
      </c>
      <c r="C750" t="s">
        <v>1</v>
      </c>
      <c r="D750" t="s">
        <v>1</v>
      </c>
      <c r="E750" t="s">
        <v>39</v>
      </c>
      <c r="F750" s="4" t="s">
        <v>126</v>
      </c>
    </row>
    <row r="751" spans="1:6" x14ac:dyDescent="0.2">
      <c r="A751" t="s">
        <v>352</v>
      </c>
      <c r="B751" t="s">
        <v>1</v>
      </c>
      <c r="C751" t="s">
        <v>2</v>
      </c>
      <c r="D751" t="s">
        <v>1</v>
      </c>
      <c r="E751" t="s">
        <v>31</v>
      </c>
      <c r="F751" s="4" t="s">
        <v>43</v>
      </c>
    </row>
    <row r="753" spans="1:5" x14ac:dyDescent="0.2">
      <c r="A753" s="11" t="s">
        <v>544</v>
      </c>
      <c r="B753" s="19" t="s">
        <v>546</v>
      </c>
      <c r="C753" s="23" t="s">
        <v>548</v>
      </c>
      <c r="D753" s="25" t="s">
        <v>550</v>
      </c>
      <c r="E753" s="36" t="s">
        <v>715</v>
      </c>
    </row>
    <row r="754" spans="1:5" x14ac:dyDescent="0.2">
      <c r="A754" s="12">
        <f>COUNTIF(A10:A751,"*$*")</f>
        <v>198</v>
      </c>
      <c r="B754" s="20">
        <f>COUNTIF(B10:B752,"*Yes*")</f>
        <v>253</v>
      </c>
      <c r="C754" s="24">
        <f>COUNTIF(C10:C752,"*Yes*")</f>
        <v>163</v>
      </c>
      <c r="D754" s="26">
        <f>COUNTIF(D10:D752,"*Yes*")</f>
        <v>78</v>
      </c>
      <c r="E754" s="35">
        <v>56</v>
      </c>
    </row>
    <row r="755" spans="1:5" x14ac:dyDescent="0.2">
      <c r="A755" s="13" t="s">
        <v>545</v>
      </c>
      <c r="B755" s="21" t="s">
        <v>547</v>
      </c>
      <c r="C755" s="15" t="s">
        <v>549</v>
      </c>
    </row>
    <row r="756" spans="1:5" x14ac:dyDescent="0.2">
      <c r="A756" s="14">
        <f>COUNTIF(A10:A751,"*^*")</f>
        <v>347</v>
      </c>
      <c r="B756" s="22">
        <f>COUNTIF(B11:B754,"*No*")</f>
        <v>94</v>
      </c>
      <c r="C756" s="16">
        <f>COUNTIF(C11:C754,"*No*")</f>
        <v>184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F3D1D-958A-8E4A-80FF-E0568E6FB008}">
  <dimension ref="A1:G322"/>
  <sheetViews>
    <sheetView topLeftCell="A264" workbookViewId="0">
      <selection activeCell="E278" sqref="E278"/>
    </sheetView>
  </sheetViews>
  <sheetFormatPr baseColWidth="10" defaultRowHeight="16" x14ac:dyDescent="0.2"/>
  <cols>
    <col min="1" max="1" width="32.6640625" customWidth="1"/>
    <col min="2" max="2" width="32.1640625" customWidth="1"/>
    <col min="3" max="3" width="24.6640625" customWidth="1"/>
    <col min="4" max="4" width="22.6640625" customWidth="1"/>
    <col min="5" max="5" width="21.5" customWidth="1"/>
    <col min="6" max="6" width="61.1640625" customWidth="1"/>
  </cols>
  <sheetData>
    <row r="1" spans="1:7" x14ac:dyDescent="0.2">
      <c r="A1" s="37" t="s">
        <v>4</v>
      </c>
      <c r="B1" s="37"/>
      <c r="C1" s="37"/>
      <c r="D1" s="13" t="s">
        <v>141</v>
      </c>
      <c r="E1" s="14" t="s">
        <v>716</v>
      </c>
      <c r="F1" s="11" t="s">
        <v>142</v>
      </c>
      <c r="G1" s="12" t="s">
        <v>693</v>
      </c>
    </row>
    <row r="2" spans="1:7" x14ac:dyDescent="0.2">
      <c r="A2" s="37"/>
      <c r="B2" s="37"/>
      <c r="C2" s="37"/>
    </row>
    <row r="3" spans="1:7" x14ac:dyDescent="0.2">
      <c r="B3" s="1" t="s">
        <v>540</v>
      </c>
      <c r="C3" s="1" t="s">
        <v>539</v>
      </c>
      <c r="D3" s="1" t="s">
        <v>24</v>
      </c>
      <c r="E3" s="1" t="s">
        <v>26</v>
      </c>
      <c r="F3" s="1" t="s">
        <v>27</v>
      </c>
      <c r="G3" s="1"/>
    </row>
    <row r="4" spans="1:7" x14ac:dyDescent="0.2">
      <c r="A4" s="1" t="s">
        <v>272</v>
      </c>
      <c r="B4" s="1"/>
      <c r="C4" s="1"/>
      <c r="D4" s="1"/>
    </row>
    <row r="5" spans="1:7" x14ac:dyDescent="0.2">
      <c r="A5" t="s">
        <v>144</v>
      </c>
      <c r="B5" t="s">
        <v>1</v>
      </c>
      <c r="C5" t="s">
        <v>1</v>
      </c>
      <c r="D5" t="s">
        <v>2</v>
      </c>
      <c r="E5" t="s">
        <v>36</v>
      </c>
      <c r="F5" s="4" t="s">
        <v>38</v>
      </c>
    </row>
    <row r="6" spans="1:7" x14ac:dyDescent="0.2">
      <c r="A6" t="s">
        <v>145</v>
      </c>
      <c r="B6" t="s">
        <v>1</v>
      </c>
      <c r="C6" t="s">
        <v>1</v>
      </c>
      <c r="D6" t="s">
        <v>2</v>
      </c>
      <c r="E6" t="s">
        <v>37</v>
      </c>
      <c r="F6" s="4" t="s">
        <v>38</v>
      </c>
    </row>
    <row r="7" spans="1:7" x14ac:dyDescent="0.2">
      <c r="A7" t="s">
        <v>146</v>
      </c>
      <c r="B7" t="s">
        <v>2</v>
      </c>
      <c r="C7" t="s">
        <v>2</v>
      </c>
      <c r="D7" t="s">
        <v>2</v>
      </c>
      <c r="E7" t="s">
        <v>31</v>
      </c>
      <c r="F7" s="4" t="s">
        <v>38</v>
      </c>
    </row>
    <row r="8" spans="1:7" x14ac:dyDescent="0.2">
      <c r="A8" t="s">
        <v>147</v>
      </c>
      <c r="B8" t="s">
        <v>2</v>
      </c>
      <c r="C8" t="s">
        <v>2</v>
      </c>
      <c r="D8" t="s">
        <v>2</v>
      </c>
      <c r="E8" t="s">
        <v>31</v>
      </c>
      <c r="F8" s="4" t="s">
        <v>38</v>
      </c>
    </row>
    <row r="9" spans="1:7" x14ac:dyDescent="0.2">
      <c r="F9" s="4"/>
    </row>
    <row r="10" spans="1:7" x14ac:dyDescent="0.2">
      <c r="A10" s="1" t="s">
        <v>273</v>
      </c>
      <c r="F10" s="4"/>
    </row>
    <row r="11" spans="1:7" x14ac:dyDescent="0.2">
      <c r="A11" t="s">
        <v>148</v>
      </c>
      <c r="B11" t="s">
        <v>2</v>
      </c>
      <c r="C11" t="s">
        <v>2</v>
      </c>
      <c r="D11" t="s">
        <v>2</v>
      </c>
      <c r="E11" t="s">
        <v>31</v>
      </c>
      <c r="F11" s="4" t="s">
        <v>38</v>
      </c>
    </row>
    <row r="12" spans="1:7" x14ac:dyDescent="0.2">
      <c r="A12" t="s">
        <v>149</v>
      </c>
      <c r="B12" t="s">
        <v>1</v>
      </c>
      <c r="C12" t="s">
        <v>1</v>
      </c>
      <c r="D12" t="s">
        <v>2</v>
      </c>
      <c r="E12" t="s">
        <v>40</v>
      </c>
      <c r="F12" s="4" t="s">
        <v>38</v>
      </c>
    </row>
    <row r="13" spans="1:7" x14ac:dyDescent="0.2">
      <c r="A13" t="s">
        <v>150</v>
      </c>
      <c r="B13" t="s">
        <v>1</v>
      </c>
      <c r="C13" t="s">
        <v>1</v>
      </c>
      <c r="D13" t="s">
        <v>2</v>
      </c>
      <c r="E13" t="s">
        <v>41</v>
      </c>
      <c r="F13" s="4" t="s">
        <v>38</v>
      </c>
    </row>
    <row r="14" spans="1:7" x14ac:dyDescent="0.2">
      <c r="F14" s="4"/>
    </row>
    <row r="15" spans="1:7" x14ac:dyDescent="0.2">
      <c r="A15" t="s">
        <v>151</v>
      </c>
      <c r="F15" s="4"/>
    </row>
    <row r="16" spans="1:7" x14ac:dyDescent="0.2">
      <c r="A16" t="s">
        <v>152</v>
      </c>
      <c r="B16" t="s">
        <v>1</v>
      </c>
      <c r="C16" t="s">
        <v>1</v>
      </c>
      <c r="D16" t="s">
        <v>2</v>
      </c>
      <c r="E16" t="s">
        <v>122</v>
      </c>
      <c r="F16" s="4" t="s">
        <v>120</v>
      </c>
    </row>
    <row r="17" spans="1:6" x14ac:dyDescent="0.2">
      <c r="F17" s="4"/>
    </row>
    <row r="18" spans="1:6" x14ac:dyDescent="0.2">
      <c r="A18" s="1" t="s">
        <v>153</v>
      </c>
      <c r="F18" s="4"/>
    </row>
    <row r="19" spans="1:6" x14ac:dyDescent="0.2">
      <c r="A19" t="s">
        <v>154</v>
      </c>
      <c r="B19" t="s">
        <v>1</v>
      </c>
      <c r="C19" t="s">
        <v>1</v>
      </c>
      <c r="D19" t="s">
        <v>2</v>
      </c>
      <c r="E19" t="s">
        <v>45</v>
      </c>
      <c r="F19" s="4" t="s">
        <v>120</v>
      </c>
    </row>
    <row r="20" spans="1:6" x14ac:dyDescent="0.2">
      <c r="F20" s="4"/>
    </row>
    <row r="21" spans="1:6" x14ac:dyDescent="0.2">
      <c r="A21" s="1" t="s">
        <v>274</v>
      </c>
      <c r="F21" s="4"/>
    </row>
    <row r="22" spans="1:6" x14ac:dyDescent="0.2">
      <c r="A22" t="s">
        <v>155</v>
      </c>
      <c r="B22" t="s">
        <v>2</v>
      </c>
      <c r="C22" t="s">
        <v>2</v>
      </c>
      <c r="D22" t="s">
        <v>1</v>
      </c>
      <c r="E22" t="s">
        <v>31</v>
      </c>
      <c r="F22" s="4" t="s">
        <v>42</v>
      </c>
    </row>
    <row r="23" spans="1:6" x14ac:dyDescent="0.2">
      <c r="A23" t="s">
        <v>156</v>
      </c>
      <c r="B23" t="s">
        <v>1</v>
      </c>
      <c r="C23" t="s">
        <v>2</v>
      </c>
      <c r="D23" t="s">
        <v>1</v>
      </c>
      <c r="E23" t="s">
        <v>31</v>
      </c>
      <c r="F23" s="4" t="s">
        <v>55</v>
      </c>
    </row>
    <row r="24" spans="1:6" x14ac:dyDescent="0.2">
      <c r="A24" t="s">
        <v>157</v>
      </c>
      <c r="B24" t="s">
        <v>1</v>
      </c>
      <c r="C24" t="s">
        <v>1</v>
      </c>
      <c r="D24" t="s">
        <v>2</v>
      </c>
      <c r="E24" t="s">
        <v>32</v>
      </c>
      <c r="F24" s="4" t="s">
        <v>59</v>
      </c>
    </row>
    <row r="25" spans="1:6" x14ac:dyDescent="0.2">
      <c r="A25" t="s">
        <v>158</v>
      </c>
      <c r="B25" t="s">
        <v>1</v>
      </c>
      <c r="C25" t="s">
        <v>2</v>
      </c>
      <c r="D25" t="s">
        <v>1</v>
      </c>
      <c r="E25" t="s">
        <v>31</v>
      </c>
      <c r="F25" s="4" t="s">
        <v>55</v>
      </c>
    </row>
    <row r="26" spans="1:6" x14ac:dyDescent="0.2">
      <c r="A26" t="s">
        <v>159</v>
      </c>
      <c r="B26" t="s">
        <v>1</v>
      </c>
      <c r="C26" t="s">
        <v>1</v>
      </c>
      <c r="D26" t="s">
        <v>2</v>
      </c>
      <c r="E26" t="s">
        <v>29</v>
      </c>
      <c r="F26" s="4" t="s">
        <v>58</v>
      </c>
    </row>
    <row r="27" spans="1:6" x14ac:dyDescent="0.2">
      <c r="F27" s="4"/>
    </row>
    <row r="28" spans="1:6" x14ac:dyDescent="0.2">
      <c r="A28" s="1" t="s">
        <v>275</v>
      </c>
      <c r="F28" s="4"/>
    </row>
    <row r="29" spans="1:6" x14ac:dyDescent="0.2">
      <c r="A29" t="s">
        <v>160</v>
      </c>
      <c r="B29" t="s">
        <v>1</v>
      </c>
      <c r="C29" t="s">
        <v>1</v>
      </c>
      <c r="D29" t="s">
        <v>2</v>
      </c>
      <c r="E29" t="s">
        <v>29</v>
      </c>
      <c r="F29" s="4" t="s">
        <v>131</v>
      </c>
    </row>
    <row r="30" spans="1:6" x14ac:dyDescent="0.2">
      <c r="F30" s="4"/>
    </row>
    <row r="31" spans="1:6" x14ac:dyDescent="0.2">
      <c r="A31" s="1" t="s">
        <v>276</v>
      </c>
      <c r="F31" s="4"/>
    </row>
    <row r="32" spans="1:6" x14ac:dyDescent="0.2">
      <c r="A32" t="s">
        <v>161</v>
      </c>
      <c r="B32" t="s">
        <v>1</v>
      </c>
      <c r="C32" t="s">
        <v>2</v>
      </c>
      <c r="D32" t="s">
        <v>1</v>
      </c>
      <c r="E32" t="s">
        <v>31</v>
      </c>
      <c r="F32" s="4" t="s">
        <v>63</v>
      </c>
    </row>
    <row r="33" spans="1:7" x14ac:dyDescent="0.2">
      <c r="F33" s="4"/>
    </row>
    <row r="34" spans="1:7" x14ac:dyDescent="0.2">
      <c r="A34" s="7" t="s">
        <v>162</v>
      </c>
      <c r="B34" s="2"/>
      <c r="C34" s="2"/>
      <c r="D34" s="2"/>
      <c r="E34" s="2"/>
      <c r="F34" s="5"/>
      <c r="G34" s="2"/>
    </row>
    <row r="35" spans="1:7" x14ac:dyDescent="0.2">
      <c r="A35" s="2" t="s">
        <v>163</v>
      </c>
      <c r="B35" s="2" t="s">
        <v>1</v>
      </c>
      <c r="C35" s="2" t="s">
        <v>1</v>
      </c>
      <c r="D35" s="2" t="s">
        <v>2</v>
      </c>
      <c r="E35" s="2" t="s">
        <v>45</v>
      </c>
      <c r="F35" s="5" t="s">
        <v>120</v>
      </c>
      <c r="G35" s="2"/>
    </row>
    <row r="36" spans="1:7" s="1" customFormat="1" x14ac:dyDescent="0.2">
      <c r="A36"/>
      <c r="B36"/>
      <c r="C36"/>
      <c r="D36"/>
      <c r="E36"/>
      <c r="F36" s="4"/>
      <c r="G36"/>
    </row>
    <row r="37" spans="1:7" x14ac:dyDescent="0.2">
      <c r="A37" s="1" t="s">
        <v>277</v>
      </c>
      <c r="F37" s="4"/>
    </row>
    <row r="38" spans="1:7" x14ac:dyDescent="0.2">
      <c r="A38" t="s">
        <v>164</v>
      </c>
      <c r="B38" t="s">
        <v>1</v>
      </c>
      <c r="C38" t="s">
        <v>1</v>
      </c>
      <c r="D38" t="s">
        <v>2</v>
      </c>
      <c r="E38" t="s">
        <v>29</v>
      </c>
      <c r="F38" s="4" t="s">
        <v>64</v>
      </c>
    </row>
    <row r="39" spans="1:7" x14ac:dyDescent="0.2">
      <c r="A39" t="s">
        <v>165</v>
      </c>
      <c r="B39" t="s">
        <v>1</v>
      </c>
      <c r="C39" t="s">
        <v>1</v>
      </c>
      <c r="D39" t="s">
        <v>2</v>
      </c>
      <c r="E39" t="s">
        <v>29</v>
      </c>
      <c r="F39" s="4" t="s">
        <v>64</v>
      </c>
    </row>
    <row r="40" spans="1:7" x14ac:dyDescent="0.2">
      <c r="E40" s="1"/>
      <c r="F40" s="10"/>
      <c r="G40" s="1"/>
    </row>
    <row r="41" spans="1:7" x14ac:dyDescent="0.2">
      <c r="A41" s="1" t="s">
        <v>278</v>
      </c>
      <c r="F41" s="4"/>
    </row>
    <row r="42" spans="1:7" x14ac:dyDescent="0.2">
      <c r="A42" t="s">
        <v>166</v>
      </c>
      <c r="B42" t="s">
        <v>1</v>
      </c>
      <c r="C42" t="s">
        <v>1</v>
      </c>
      <c r="D42" t="s">
        <v>2</v>
      </c>
      <c r="E42" t="s">
        <v>29</v>
      </c>
      <c r="F42" s="4" t="s">
        <v>64</v>
      </c>
    </row>
    <row r="43" spans="1:7" x14ac:dyDescent="0.2">
      <c r="A43" t="s">
        <v>167</v>
      </c>
      <c r="B43" t="s">
        <v>1</v>
      </c>
      <c r="C43" t="s">
        <v>1</v>
      </c>
      <c r="D43" t="s">
        <v>2</v>
      </c>
      <c r="E43" t="s">
        <v>29</v>
      </c>
      <c r="F43" s="4" t="s">
        <v>64</v>
      </c>
    </row>
    <row r="44" spans="1:7" x14ac:dyDescent="0.2">
      <c r="F44" s="4"/>
    </row>
    <row r="45" spans="1:7" x14ac:dyDescent="0.2">
      <c r="A45" s="1" t="s">
        <v>168</v>
      </c>
      <c r="F45" s="4"/>
    </row>
    <row r="46" spans="1:7" x14ac:dyDescent="0.2">
      <c r="A46" t="s">
        <v>169</v>
      </c>
      <c r="B46" t="s">
        <v>1</v>
      </c>
      <c r="C46" t="s">
        <v>1</v>
      </c>
      <c r="D46" t="s">
        <v>2</v>
      </c>
      <c r="E46" t="s">
        <v>29</v>
      </c>
      <c r="F46" s="4" t="s">
        <v>74</v>
      </c>
    </row>
    <row r="47" spans="1:7" x14ac:dyDescent="0.2">
      <c r="F47" s="4"/>
    </row>
    <row r="48" spans="1:7" x14ac:dyDescent="0.2">
      <c r="A48" s="1" t="s">
        <v>170</v>
      </c>
      <c r="F48" s="4"/>
    </row>
    <row r="49" spans="1:6" x14ac:dyDescent="0.2">
      <c r="A49" t="s">
        <v>171</v>
      </c>
      <c r="B49" t="s">
        <v>1</v>
      </c>
      <c r="C49" t="s">
        <v>1</v>
      </c>
      <c r="D49" t="s">
        <v>2</v>
      </c>
      <c r="E49" t="s">
        <v>29</v>
      </c>
      <c r="F49" s="4" t="s">
        <v>64</v>
      </c>
    </row>
    <row r="50" spans="1:6" x14ac:dyDescent="0.2">
      <c r="F50" s="4"/>
    </row>
    <row r="51" spans="1:6" x14ac:dyDescent="0.2">
      <c r="A51" s="1" t="s">
        <v>640</v>
      </c>
      <c r="F51" s="4"/>
    </row>
    <row r="52" spans="1:6" x14ac:dyDescent="0.2">
      <c r="A52" t="s">
        <v>641</v>
      </c>
      <c r="B52" t="s">
        <v>2</v>
      </c>
      <c r="C52" t="s">
        <v>2</v>
      </c>
      <c r="D52" t="s">
        <v>2</v>
      </c>
      <c r="E52" t="s">
        <v>31</v>
      </c>
      <c r="F52" s="4" t="s">
        <v>558</v>
      </c>
    </row>
    <row r="53" spans="1:6" x14ac:dyDescent="0.2">
      <c r="F53" s="4"/>
    </row>
    <row r="54" spans="1:6" x14ac:dyDescent="0.2">
      <c r="A54" s="1" t="s">
        <v>279</v>
      </c>
      <c r="F54" s="4"/>
    </row>
    <row r="55" spans="1:6" x14ac:dyDescent="0.2">
      <c r="A55" t="s">
        <v>172</v>
      </c>
      <c r="B55" t="s">
        <v>1</v>
      </c>
      <c r="C55" t="s">
        <v>2</v>
      </c>
      <c r="D55" t="s">
        <v>1</v>
      </c>
      <c r="E55" t="s">
        <v>31</v>
      </c>
      <c r="F55" s="4" t="s">
        <v>48</v>
      </c>
    </row>
    <row r="56" spans="1:6" x14ac:dyDescent="0.2">
      <c r="F56" s="4"/>
    </row>
    <row r="57" spans="1:6" x14ac:dyDescent="0.2">
      <c r="A57" s="1" t="s">
        <v>280</v>
      </c>
      <c r="F57" s="4"/>
    </row>
    <row r="58" spans="1:6" x14ac:dyDescent="0.2">
      <c r="A58" t="s">
        <v>173</v>
      </c>
      <c r="B58" t="s">
        <v>1</v>
      </c>
      <c r="C58" t="s">
        <v>2</v>
      </c>
      <c r="D58" t="s">
        <v>1</v>
      </c>
      <c r="E58" t="s">
        <v>31</v>
      </c>
      <c r="F58" s="4" t="s">
        <v>79</v>
      </c>
    </row>
    <row r="59" spans="1:6" x14ac:dyDescent="0.2">
      <c r="F59" s="4"/>
    </row>
    <row r="60" spans="1:6" x14ac:dyDescent="0.2">
      <c r="A60" t="s">
        <v>679</v>
      </c>
      <c r="F60" s="4"/>
    </row>
    <row r="61" spans="1:6" x14ac:dyDescent="0.2">
      <c r="A61" t="s">
        <v>680</v>
      </c>
      <c r="B61" t="s">
        <v>1</v>
      </c>
      <c r="C61" t="s">
        <v>2</v>
      </c>
      <c r="D61" t="s">
        <v>2</v>
      </c>
      <c r="E61" t="s">
        <v>31</v>
      </c>
      <c r="F61" s="4" t="s">
        <v>558</v>
      </c>
    </row>
    <row r="62" spans="1:6" x14ac:dyDescent="0.2">
      <c r="F62" s="4"/>
    </row>
    <row r="63" spans="1:6" x14ac:dyDescent="0.2">
      <c r="A63" s="1" t="s">
        <v>281</v>
      </c>
      <c r="F63" s="4"/>
    </row>
    <row r="64" spans="1:6" x14ac:dyDescent="0.2">
      <c r="A64" t="s">
        <v>174</v>
      </c>
      <c r="B64" t="s">
        <v>1</v>
      </c>
      <c r="C64" t="s">
        <v>2</v>
      </c>
      <c r="D64" t="s">
        <v>1</v>
      </c>
      <c r="E64" t="s">
        <v>31</v>
      </c>
      <c r="F64" s="4" t="s">
        <v>56</v>
      </c>
    </row>
    <row r="65" spans="1:6" x14ac:dyDescent="0.2">
      <c r="A65" t="s">
        <v>175</v>
      </c>
      <c r="B65" t="s">
        <v>1</v>
      </c>
      <c r="C65" t="s">
        <v>2</v>
      </c>
      <c r="D65" t="s">
        <v>1</v>
      </c>
      <c r="E65" t="s">
        <v>31</v>
      </c>
      <c r="F65" s="4"/>
    </row>
    <row r="66" spans="1:6" x14ac:dyDescent="0.2">
      <c r="F66" s="4"/>
    </row>
    <row r="67" spans="1:6" x14ac:dyDescent="0.2">
      <c r="A67" t="s">
        <v>743</v>
      </c>
      <c r="F67" s="4"/>
    </row>
    <row r="68" spans="1:6" x14ac:dyDescent="0.2">
      <c r="A68" t="s">
        <v>744</v>
      </c>
      <c r="B68" t="s">
        <v>1</v>
      </c>
      <c r="C68" t="s">
        <v>1</v>
      </c>
      <c r="D68" t="s">
        <v>2</v>
      </c>
      <c r="E68" t="s">
        <v>39</v>
      </c>
      <c r="F68" s="4" t="s">
        <v>725</v>
      </c>
    </row>
    <row r="69" spans="1:6" x14ac:dyDescent="0.2">
      <c r="F69" s="4"/>
    </row>
    <row r="70" spans="1:6" x14ac:dyDescent="0.2">
      <c r="A70" s="1" t="s">
        <v>176</v>
      </c>
      <c r="F70" s="4"/>
    </row>
    <row r="71" spans="1:6" x14ac:dyDescent="0.2">
      <c r="A71" t="s">
        <v>177</v>
      </c>
      <c r="B71" t="s">
        <v>1</v>
      </c>
      <c r="C71" t="s">
        <v>1</v>
      </c>
      <c r="D71" t="s">
        <v>2</v>
      </c>
      <c r="E71" t="s">
        <v>45</v>
      </c>
      <c r="F71" s="4" t="s">
        <v>120</v>
      </c>
    </row>
    <row r="72" spans="1:6" x14ac:dyDescent="0.2">
      <c r="A72" t="s">
        <v>178</v>
      </c>
      <c r="B72" t="s">
        <v>1</v>
      </c>
      <c r="C72" t="s">
        <v>1</v>
      </c>
      <c r="D72" t="s">
        <v>2</v>
      </c>
      <c r="E72" t="s">
        <v>45</v>
      </c>
      <c r="F72" s="4" t="s">
        <v>120</v>
      </c>
    </row>
    <row r="73" spans="1:6" x14ac:dyDescent="0.2">
      <c r="A73" t="s">
        <v>179</v>
      </c>
      <c r="B73" t="s">
        <v>1</v>
      </c>
      <c r="C73" t="s">
        <v>1</v>
      </c>
      <c r="D73" t="s">
        <v>2</v>
      </c>
      <c r="E73" t="s">
        <v>39</v>
      </c>
      <c r="F73" s="4" t="s">
        <v>121</v>
      </c>
    </row>
    <row r="74" spans="1:6" x14ac:dyDescent="0.2">
      <c r="F74" s="4"/>
    </row>
    <row r="75" spans="1:6" x14ac:dyDescent="0.2">
      <c r="A75" t="s">
        <v>681</v>
      </c>
      <c r="F75" s="4"/>
    </row>
    <row r="76" spans="1:6" x14ac:dyDescent="0.2">
      <c r="A76" t="s">
        <v>682</v>
      </c>
      <c r="B76" t="s">
        <v>1</v>
      </c>
      <c r="C76" t="s">
        <v>2</v>
      </c>
      <c r="D76" t="s">
        <v>2</v>
      </c>
      <c r="E76" t="s">
        <v>31</v>
      </c>
      <c r="F76" s="4" t="s">
        <v>558</v>
      </c>
    </row>
    <row r="77" spans="1:6" x14ac:dyDescent="0.2">
      <c r="F77" s="4"/>
    </row>
    <row r="78" spans="1:6" x14ac:dyDescent="0.2">
      <c r="A78" s="1" t="s">
        <v>282</v>
      </c>
      <c r="F78" s="4"/>
    </row>
    <row r="79" spans="1:6" x14ac:dyDescent="0.2">
      <c r="A79" t="s">
        <v>180</v>
      </c>
      <c r="B79" t="s">
        <v>1</v>
      </c>
      <c r="C79" t="s">
        <v>1</v>
      </c>
      <c r="D79" t="s">
        <v>2</v>
      </c>
      <c r="E79" t="s">
        <v>29</v>
      </c>
      <c r="F79" s="4" t="s">
        <v>64</v>
      </c>
    </row>
    <row r="80" spans="1:6" x14ac:dyDescent="0.2">
      <c r="F80" s="4"/>
    </row>
    <row r="81" spans="1:6" x14ac:dyDescent="0.2">
      <c r="A81" s="1" t="s">
        <v>283</v>
      </c>
      <c r="B81" s="1"/>
      <c r="C81" s="1"/>
      <c r="F81" s="4"/>
    </row>
    <row r="82" spans="1:6" x14ac:dyDescent="0.2">
      <c r="A82" t="s">
        <v>181</v>
      </c>
      <c r="B82" t="s">
        <v>1</v>
      </c>
      <c r="C82" t="s">
        <v>1</v>
      </c>
      <c r="D82" t="s">
        <v>2</v>
      </c>
      <c r="E82" t="s">
        <v>29</v>
      </c>
      <c r="F82" s="4" t="s">
        <v>44</v>
      </c>
    </row>
    <row r="83" spans="1:6" x14ac:dyDescent="0.2">
      <c r="F83" s="4"/>
    </row>
    <row r="84" spans="1:6" x14ac:dyDescent="0.2">
      <c r="A84" s="1" t="s">
        <v>182</v>
      </c>
      <c r="F84" s="4"/>
    </row>
    <row r="85" spans="1:6" x14ac:dyDescent="0.2">
      <c r="A85" t="s">
        <v>183</v>
      </c>
      <c r="B85" t="s">
        <v>1</v>
      </c>
      <c r="C85" t="s">
        <v>1</v>
      </c>
      <c r="D85" t="s">
        <v>2</v>
      </c>
      <c r="E85" t="s">
        <v>25</v>
      </c>
      <c r="F85" s="4" t="s">
        <v>717</v>
      </c>
    </row>
    <row r="86" spans="1:6" x14ac:dyDescent="0.2">
      <c r="F86" s="4"/>
    </row>
    <row r="87" spans="1:6" x14ac:dyDescent="0.2">
      <c r="A87" t="s">
        <v>766</v>
      </c>
      <c r="F87" s="4"/>
    </row>
    <row r="88" spans="1:6" x14ac:dyDescent="0.2">
      <c r="A88" t="s">
        <v>767</v>
      </c>
      <c r="B88" t="s">
        <v>2</v>
      </c>
      <c r="C88" t="s">
        <v>2</v>
      </c>
      <c r="D88" t="s">
        <v>2</v>
      </c>
      <c r="E88" t="s">
        <v>31</v>
      </c>
      <c r="F88" s="4" t="s">
        <v>725</v>
      </c>
    </row>
    <row r="89" spans="1:6" x14ac:dyDescent="0.2">
      <c r="F89" s="4"/>
    </row>
    <row r="90" spans="1:6" x14ac:dyDescent="0.2">
      <c r="A90" t="s">
        <v>768</v>
      </c>
      <c r="F90" s="4"/>
    </row>
    <row r="91" spans="1:6" x14ac:dyDescent="0.2">
      <c r="A91" t="s">
        <v>769</v>
      </c>
      <c r="B91" t="s">
        <v>2</v>
      </c>
      <c r="C91" t="s">
        <v>2</v>
      </c>
      <c r="D91" t="s">
        <v>2</v>
      </c>
      <c r="E91" t="s">
        <v>31</v>
      </c>
      <c r="F91" s="4" t="s">
        <v>725</v>
      </c>
    </row>
    <row r="92" spans="1:6" x14ac:dyDescent="0.2">
      <c r="A92" t="s">
        <v>770</v>
      </c>
      <c r="B92" t="s">
        <v>2</v>
      </c>
      <c r="C92" t="s">
        <v>2</v>
      </c>
      <c r="D92" t="s">
        <v>2</v>
      </c>
      <c r="E92" t="s">
        <v>31</v>
      </c>
      <c r="F92" s="4" t="s">
        <v>725</v>
      </c>
    </row>
    <row r="93" spans="1:6" x14ac:dyDescent="0.2">
      <c r="F93" s="4"/>
    </row>
    <row r="94" spans="1:6" x14ac:dyDescent="0.2">
      <c r="A94" t="s">
        <v>687</v>
      </c>
      <c r="F94" s="4"/>
    </row>
    <row r="95" spans="1:6" x14ac:dyDescent="0.2">
      <c r="A95" t="s">
        <v>688</v>
      </c>
      <c r="B95" t="s">
        <v>1</v>
      </c>
      <c r="C95" t="s">
        <v>1</v>
      </c>
      <c r="D95" t="s">
        <v>2</v>
      </c>
      <c r="E95" t="s">
        <v>689</v>
      </c>
      <c r="F95" s="4" t="s">
        <v>690</v>
      </c>
    </row>
    <row r="96" spans="1:6" x14ac:dyDescent="0.2">
      <c r="F96" s="4"/>
    </row>
    <row r="97" spans="1:6" x14ac:dyDescent="0.2">
      <c r="A97" s="1" t="s">
        <v>284</v>
      </c>
      <c r="F97" s="4"/>
    </row>
    <row r="98" spans="1:6" x14ac:dyDescent="0.2">
      <c r="A98" t="s">
        <v>184</v>
      </c>
      <c r="B98" t="s">
        <v>1</v>
      </c>
      <c r="C98" t="s">
        <v>1</v>
      </c>
      <c r="D98" t="s">
        <v>2</v>
      </c>
      <c r="E98" t="s">
        <v>39</v>
      </c>
      <c r="F98" s="4" t="s">
        <v>57</v>
      </c>
    </row>
    <row r="99" spans="1:6" x14ac:dyDescent="0.2">
      <c r="F99" s="4"/>
    </row>
    <row r="100" spans="1:6" x14ac:dyDescent="0.2">
      <c r="A100" s="1" t="s">
        <v>285</v>
      </c>
      <c r="F100" s="4"/>
    </row>
    <row r="101" spans="1:6" x14ac:dyDescent="0.2">
      <c r="A101" t="s">
        <v>185</v>
      </c>
      <c r="B101" t="s">
        <v>1</v>
      </c>
      <c r="C101" t="s">
        <v>2</v>
      </c>
      <c r="D101" t="s">
        <v>1</v>
      </c>
      <c r="E101" t="s">
        <v>31</v>
      </c>
      <c r="F101" s="4" t="s">
        <v>43</v>
      </c>
    </row>
    <row r="102" spans="1:6" x14ac:dyDescent="0.2">
      <c r="F102" s="4"/>
    </row>
    <row r="103" spans="1:6" x14ac:dyDescent="0.2">
      <c r="A103" s="1" t="s">
        <v>286</v>
      </c>
      <c r="F103" s="4"/>
    </row>
    <row r="104" spans="1:6" x14ac:dyDescent="0.2">
      <c r="A104" t="s">
        <v>186</v>
      </c>
      <c r="B104" t="s">
        <v>1</v>
      </c>
      <c r="C104" t="s">
        <v>1</v>
      </c>
      <c r="D104" t="s">
        <v>2</v>
      </c>
      <c r="E104" t="s">
        <v>83</v>
      </c>
      <c r="F104" s="4" t="s">
        <v>38</v>
      </c>
    </row>
    <row r="105" spans="1:6" x14ac:dyDescent="0.2">
      <c r="F105" s="4"/>
    </row>
    <row r="106" spans="1:6" x14ac:dyDescent="0.2">
      <c r="A106" s="1" t="s">
        <v>287</v>
      </c>
      <c r="F106" s="4"/>
    </row>
    <row r="107" spans="1:6" x14ac:dyDescent="0.2">
      <c r="A107" t="s">
        <v>745</v>
      </c>
      <c r="B107" t="s">
        <v>1</v>
      </c>
      <c r="C107" t="s">
        <v>1</v>
      </c>
      <c r="D107" t="s">
        <v>2</v>
      </c>
      <c r="E107" t="s">
        <v>29</v>
      </c>
      <c r="F107" s="4" t="s">
        <v>725</v>
      </c>
    </row>
    <row r="108" spans="1:6" x14ac:dyDescent="0.2">
      <c r="A108" t="s">
        <v>187</v>
      </c>
      <c r="B108" t="s">
        <v>1</v>
      </c>
      <c r="C108" t="s">
        <v>1</v>
      </c>
      <c r="D108" t="s">
        <v>2</v>
      </c>
      <c r="E108" t="s">
        <v>41</v>
      </c>
      <c r="F108" s="4" t="s">
        <v>38</v>
      </c>
    </row>
    <row r="109" spans="1:6" x14ac:dyDescent="0.2">
      <c r="F109" s="4"/>
    </row>
    <row r="110" spans="1:6" x14ac:dyDescent="0.2">
      <c r="A110" s="1" t="s">
        <v>288</v>
      </c>
      <c r="F110" s="4"/>
    </row>
    <row r="111" spans="1:6" x14ac:dyDescent="0.2">
      <c r="A111" t="s">
        <v>742</v>
      </c>
      <c r="B111" t="s">
        <v>1</v>
      </c>
      <c r="C111" t="s">
        <v>1</v>
      </c>
      <c r="D111" t="s">
        <v>2</v>
      </c>
      <c r="E111" t="s">
        <v>29</v>
      </c>
      <c r="F111" s="4" t="s">
        <v>725</v>
      </c>
    </row>
    <row r="112" spans="1:6" x14ac:dyDescent="0.2">
      <c r="A112" t="s">
        <v>188</v>
      </c>
      <c r="B112" t="s">
        <v>1</v>
      </c>
      <c r="C112" t="s">
        <v>1</v>
      </c>
      <c r="D112" t="s">
        <v>2</v>
      </c>
      <c r="E112" t="s">
        <v>41</v>
      </c>
      <c r="F112" s="4" t="s">
        <v>38</v>
      </c>
    </row>
    <row r="113" spans="1:6" x14ac:dyDescent="0.2">
      <c r="A113" t="s">
        <v>189</v>
      </c>
      <c r="B113" t="s">
        <v>1</v>
      </c>
      <c r="C113" t="s">
        <v>1</v>
      </c>
      <c r="D113" t="s">
        <v>2</v>
      </c>
      <c r="E113" t="s">
        <v>41</v>
      </c>
      <c r="F113" s="4" t="s">
        <v>38</v>
      </c>
    </row>
    <row r="114" spans="1:6" x14ac:dyDescent="0.2">
      <c r="F114" s="4"/>
    </row>
    <row r="115" spans="1:6" x14ac:dyDescent="0.2">
      <c r="A115" s="1" t="s">
        <v>289</v>
      </c>
      <c r="F115" s="4"/>
    </row>
    <row r="116" spans="1:6" x14ac:dyDescent="0.2">
      <c r="A116" t="s">
        <v>190</v>
      </c>
      <c r="B116" t="s">
        <v>1</v>
      </c>
      <c r="C116" t="s">
        <v>1</v>
      </c>
      <c r="D116" t="s">
        <v>2</v>
      </c>
      <c r="E116" t="s">
        <v>41</v>
      </c>
      <c r="F116" s="4" t="s">
        <v>38</v>
      </c>
    </row>
    <row r="117" spans="1:6" x14ac:dyDescent="0.2">
      <c r="F117" s="4"/>
    </row>
    <row r="118" spans="1:6" x14ac:dyDescent="0.2">
      <c r="A118" t="s">
        <v>746</v>
      </c>
      <c r="F118" s="4"/>
    </row>
    <row r="119" spans="1:6" x14ac:dyDescent="0.2">
      <c r="A119" t="s">
        <v>747</v>
      </c>
      <c r="B119" t="s">
        <v>1</v>
      </c>
      <c r="C119" t="s">
        <v>1</v>
      </c>
      <c r="D119" t="s">
        <v>2</v>
      </c>
      <c r="E119" t="s">
        <v>29</v>
      </c>
      <c r="F119" s="4" t="s">
        <v>725</v>
      </c>
    </row>
    <row r="120" spans="1:6" x14ac:dyDescent="0.2">
      <c r="A120" t="s">
        <v>748</v>
      </c>
      <c r="B120" t="s">
        <v>2</v>
      </c>
      <c r="C120" t="s">
        <v>2</v>
      </c>
      <c r="D120" t="s">
        <v>2</v>
      </c>
      <c r="E120" t="s">
        <v>31</v>
      </c>
      <c r="F120" s="4" t="s">
        <v>725</v>
      </c>
    </row>
    <row r="121" spans="1:6" x14ac:dyDescent="0.2">
      <c r="F121" s="4"/>
    </row>
    <row r="122" spans="1:6" x14ac:dyDescent="0.2">
      <c r="A122" s="1" t="s">
        <v>683</v>
      </c>
      <c r="F122" s="4"/>
    </row>
    <row r="123" spans="1:6" x14ac:dyDescent="0.2">
      <c r="A123" t="s">
        <v>684</v>
      </c>
      <c r="B123" t="s">
        <v>1</v>
      </c>
      <c r="C123" t="s">
        <v>2</v>
      </c>
      <c r="D123" t="s">
        <v>1</v>
      </c>
      <c r="E123" t="s">
        <v>31</v>
      </c>
      <c r="F123" s="4" t="s">
        <v>685</v>
      </c>
    </row>
    <row r="124" spans="1:6" x14ac:dyDescent="0.2">
      <c r="F124" s="4"/>
    </row>
    <row r="125" spans="1:6" x14ac:dyDescent="0.2">
      <c r="A125" s="1" t="s">
        <v>290</v>
      </c>
      <c r="F125" s="4"/>
    </row>
    <row r="126" spans="1:6" x14ac:dyDescent="0.2">
      <c r="A126" t="s">
        <v>191</v>
      </c>
      <c r="B126" t="s">
        <v>1</v>
      </c>
      <c r="C126" t="s">
        <v>1</v>
      </c>
      <c r="D126" t="s">
        <v>2</v>
      </c>
      <c r="E126" t="s">
        <v>87</v>
      </c>
      <c r="F126" s="4" t="s">
        <v>38</v>
      </c>
    </row>
    <row r="127" spans="1:6" x14ac:dyDescent="0.2">
      <c r="A127" t="s">
        <v>749</v>
      </c>
      <c r="B127" t="s">
        <v>1</v>
      </c>
      <c r="C127" t="s">
        <v>1</v>
      </c>
      <c r="D127" t="s">
        <v>2</v>
      </c>
      <c r="E127" t="s">
        <v>29</v>
      </c>
      <c r="F127" s="4" t="s">
        <v>725</v>
      </c>
    </row>
    <row r="128" spans="1:6" x14ac:dyDescent="0.2">
      <c r="F128" s="4"/>
    </row>
    <row r="129" spans="1:6" ht="17" customHeight="1" x14ac:dyDescent="0.2">
      <c r="A129" t="s">
        <v>642</v>
      </c>
      <c r="F129" s="4"/>
    </row>
    <row r="130" spans="1:6" x14ac:dyDescent="0.2">
      <c r="A130" t="s">
        <v>643</v>
      </c>
      <c r="B130" t="s">
        <v>2</v>
      </c>
      <c r="C130" t="s">
        <v>2</v>
      </c>
      <c r="D130" t="s">
        <v>2</v>
      </c>
      <c r="E130" t="s">
        <v>31</v>
      </c>
      <c r="F130" s="4" t="s">
        <v>558</v>
      </c>
    </row>
    <row r="131" spans="1:6" x14ac:dyDescent="0.2">
      <c r="F131" s="4"/>
    </row>
    <row r="132" spans="1:6" x14ac:dyDescent="0.2">
      <c r="A132" s="1" t="s">
        <v>291</v>
      </c>
      <c r="F132" s="4"/>
    </row>
    <row r="133" spans="1:6" x14ac:dyDescent="0.2">
      <c r="A133" t="s">
        <v>192</v>
      </c>
      <c r="B133" t="s">
        <v>2</v>
      </c>
      <c r="C133" t="s">
        <v>2</v>
      </c>
      <c r="D133" t="s">
        <v>1</v>
      </c>
      <c r="E133" t="s">
        <v>31</v>
      </c>
      <c r="F133" s="4" t="s">
        <v>88</v>
      </c>
    </row>
    <row r="134" spans="1:6" x14ac:dyDescent="0.2">
      <c r="F134" s="4"/>
    </row>
    <row r="135" spans="1:6" x14ac:dyDescent="0.2">
      <c r="A135" s="1" t="s">
        <v>292</v>
      </c>
      <c r="F135" s="4"/>
    </row>
    <row r="136" spans="1:6" x14ac:dyDescent="0.2">
      <c r="A136" t="s">
        <v>193</v>
      </c>
      <c r="B136" t="s">
        <v>1</v>
      </c>
      <c r="C136" t="s">
        <v>1</v>
      </c>
      <c r="D136" t="s">
        <v>2</v>
      </c>
      <c r="E136" t="s">
        <v>750</v>
      </c>
      <c r="F136" s="4" t="s">
        <v>751</v>
      </c>
    </row>
    <row r="137" spans="1:6" x14ac:dyDescent="0.2">
      <c r="A137" t="s">
        <v>194</v>
      </c>
      <c r="B137" t="s">
        <v>1</v>
      </c>
      <c r="C137" t="s">
        <v>1</v>
      </c>
      <c r="D137" t="s">
        <v>2</v>
      </c>
      <c r="E137" t="s">
        <v>41</v>
      </c>
      <c r="F137" s="4" t="s">
        <v>38</v>
      </c>
    </row>
    <row r="138" spans="1:6" x14ac:dyDescent="0.2">
      <c r="F138" s="4"/>
    </row>
    <row r="139" spans="1:6" x14ac:dyDescent="0.2">
      <c r="A139" s="1" t="s">
        <v>293</v>
      </c>
      <c r="F139" s="4"/>
    </row>
    <row r="140" spans="1:6" x14ac:dyDescent="0.2">
      <c r="A140" t="s">
        <v>195</v>
      </c>
      <c r="B140" t="s">
        <v>1</v>
      </c>
      <c r="C140" t="s">
        <v>1</v>
      </c>
      <c r="D140" t="s">
        <v>2</v>
      </c>
      <c r="E140" t="s">
        <v>29</v>
      </c>
      <c r="F140" s="4" t="s">
        <v>64</v>
      </c>
    </row>
    <row r="141" spans="1:6" x14ac:dyDescent="0.2">
      <c r="A141" t="s">
        <v>196</v>
      </c>
      <c r="B141" t="s">
        <v>1</v>
      </c>
      <c r="C141" t="s">
        <v>1</v>
      </c>
      <c r="D141" t="s">
        <v>2</v>
      </c>
      <c r="E141" t="s">
        <v>29</v>
      </c>
      <c r="F141" s="4" t="s">
        <v>130</v>
      </c>
    </row>
    <row r="142" spans="1:6" x14ac:dyDescent="0.2">
      <c r="A142" t="s">
        <v>197</v>
      </c>
      <c r="B142" t="s">
        <v>1</v>
      </c>
      <c r="C142" t="s">
        <v>1</v>
      </c>
      <c r="D142" t="s">
        <v>2</v>
      </c>
      <c r="E142" t="s">
        <v>29</v>
      </c>
      <c r="F142" s="4" t="s">
        <v>130</v>
      </c>
    </row>
    <row r="143" spans="1:6" x14ac:dyDescent="0.2">
      <c r="F143" s="4"/>
    </row>
    <row r="144" spans="1:6" x14ac:dyDescent="0.2">
      <c r="A144" s="1" t="s">
        <v>294</v>
      </c>
      <c r="F144" s="4"/>
    </row>
    <row r="145" spans="1:6" x14ac:dyDescent="0.2">
      <c r="A145" t="s">
        <v>752</v>
      </c>
      <c r="B145" t="s">
        <v>1</v>
      </c>
      <c r="C145" t="s">
        <v>1</v>
      </c>
      <c r="D145" t="s">
        <v>2</v>
      </c>
      <c r="E145" t="s">
        <v>29</v>
      </c>
      <c r="F145" s="4" t="s">
        <v>725</v>
      </c>
    </row>
    <row r="146" spans="1:6" x14ac:dyDescent="0.2">
      <c r="A146" t="s">
        <v>753</v>
      </c>
      <c r="B146" t="s">
        <v>1</v>
      </c>
      <c r="C146" t="s">
        <v>1</v>
      </c>
      <c r="D146" t="s">
        <v>2</v>
      </c>
      <c r="E146" t="s">
        <v>29</v>
      </c>
      <c r="F146" s="4" t="s">
        <v>725</v>
      </c>
    </row>
    <row r="147" spans="1:6" x14ac:dyDescent="0.2">
      <c r="A147" t="s">
        <v>198</v>
      </c>
      <c r="B147" t="s">
        <v>1</v>
      </c>
      <c r="C147" t="s">
        <v>1</v>
      </c>
      <c r="D147" t="s">
        <v>2</v>
      </c>
      <c r="E147" t="s">
        <v>41</v>
      </c>
      <c r="F147" s="4" t="s">
        <v>38</v>
      </c>
    </row>
    <row r="148" spans="1:6" x14ac:dyDescent="0.2">
      <c r="A148" t="s">
        <v>199</v>
      </c>
      <c r="B148" t="s">
        <v>1</v>
      </c>
      <c r="C148" t="s">
        <v>1</v>
      </c>
      <c r="D148" t="s">
        <v>2</v>
      </c>
      <c r="E148" t="s">
        <v>41</v>
      </c>
      <c r="F148" s="4" t="s">
        <v>38</v>
      </c>
    </row>
    <row r="149" spans="1:6" x14ac:dyDescent="0.2">
      <c r="A149" t="s">
        <v>754</v>
      </c>
      <c r="B149" t="s">
        <v>1</v>
      </c>
      <c r="C149" t="s">
        <v>1</v>
      </c>
      <c r="D149" t="s">
        <v>2</v>
      </c>
      <c r="E149" t="s">
        <v>29</v>
      </c>
      <c r="F149" s="4" t="s">
        <v>725</v>
      </c>
    </row>
    <row r="150" spans="1:6" x14ac:dyDescent="0.2">
      <c r="F150" s="4"/>
    </row>
    <row r="151" spans="1:6" x14ac:dyDescent="0.2">
      <c r="A151" t="s">
        <v>755</v>
      </c>
      <c r="F151" s="4"/>
    </row>
    <row r="152" spans="1:6" x14ac:dyDescent="0.2">
      <c r="A152" t="s">
        <v>756</v>
      </c>
      <c r="B152" t="s">
        <v>1</v>
      </c>
      <c r="C152" t="s">
        <v>1</v>
      </c>
      <c r="D152" t="s">
        <v>2</v>
      </c>
      <c r="E152" t="s">
        <v>84</v>
      </c>
      <c r="F152" s="4" t="s">
        <v>725</v>
      </c>
    </row>
    <row r="153" spans="1:6" x14ac:dyDescent="0.2">
      <c r="F153" s="4"/>
    </row>
    <row r="154" spans="1:6" x14ac:dyDescent="0.2">
      <c r="A154" s="1" t="s">
        <v>295</v>
      </c>
      <c r="F154" s="4"/>
    </row>
    <row r="155" spans="1:6" x14ac:dyDescent="0.2">
      <c r="A155" t="s">
        <v>200</v>
      </c>
      <c r="B155" t="s">
        <v>1</v>
      </c>
      <c r="C155" t="s">
        <v>1</v>
      </c>
      <c r="D155" t="s">
        <v>2</v>
      </c>
      <c r="E155" t="s">
        <v>96</v>
      </c>
      <c r="F155" s="4" t="s">
        <v>38</v>
      </c>
    </row>
    <row r="156" spans="1:6" x14ac:dyDescent="0.2">
      <c r="F156" s="4"/>
    </row>
    <row r="157" spans="1:6" x14ac:dyDescent="0.2">
      <c r="A157" s="1" t="s">
        <v>296</v>
      </c>
      <c r="F157" s="4"/>
    </row>
    <row r="158" spans="1:6" x14ac:dyDescent="0.2">
      <c r="A158" t="s">
        <v>201</v>
      </c>
      <c r="B158" t="s">
        <v>1</v>
      </c>
      <c r="C158" t="s">
        <v>1</v>
      </c>
      <c r="D158" t="s">
        <v>2</v>
      </c>
      <c r="E158" t="s">
        <v>29</v>
      </c>
      <c r="F158" s="4" t="s">
        <v>64</v>
      </c>
    </row>
    <row r="159" spans="1:6" x14ac:dyDescent="0.2">
      <c r="F159" s="4"/>
    </row>
    <row r="160" spans="1:6" x14ac:dyDescent="0.2">
      <c r="A160" s="1" t="s">
        <v>202</v>
      </c>
      <c r="F160" s="4"/>
    </row>
    <row r="161" spans="1:7" x14ac:dyDescent="0.2">
      <c r="A161" t="s">
        <v>203</v>
      </c>
      <c r="B161" t="s">
        <v>1</v>
      </c>
      <c r="C161" t="s">
        <v>1</v>
      </c>
      <c r="D161" t="s">
        <v>2</v>
      </c>
      <c r="E161" t="s">
        <v>45</v>
      </c>
      <c r="F161" s="4" t="s">
        <v>120</v>
      </c>
    </row>
    <row r="162" spans="1:7" x14ac:dyDescent="0.2">
      <c r="A162" t="s">
        <v>204</v>
      </c>
      <c r="B162" t="s">
        <v>1</v>
      </c>
      <c r="C162" t="s">
        <v>1</v>
      </c>
      <c r="D162" t="s">
        <v>2</v>
      </c>
      <c r="E162" t="s">
        <v>34</v>
      </c>
      <c r="F162" s="4" t="s">
        <v>35</v>
      </c>
    </row>
    <row r="163" spans="1:7" x14ac:dyDescent="0.2">
      <c r="F163" s="4"/>
    </row>
    <row r="164" spans="1:7" x14ac:dyDescent="0.2">
      <c r="A164" s="1" t="s">
        <v>297</v>
      </c>
      <c r="B164" s="1"/>
      <c r="C164" s="1"/>
      <c r="D164" s="1"/>
      <c r="F164" s="4"/>
    </row>
    <row r="165" spans="1:7" x14ac:dyDescent="0.2">
      <c r="A165" t="s">
        <v>205</v>
      </c>
      <c r="B165" t="s">
        <v>1</v>
      </c>
      <c r="C165" t="s">
        <v>2</v>
      </c>
      <c r="D165" t="s">
        <v>1</v>
      </c>
      <c r="E165" t="s">
        <v>31</v>
      </c>
      <c r="F165" s="6" t="s">
        <v>98</v>
      </c>
    </row>
    <row r="166" spans="1:7" x14ac:dyDescent="0.2">
      <c r="F166" s="4"/>
    </row>
    <row r="167" spans="1:7" x14ac:dyDescent="0.2">
      <c r="A167" s="1" t="s">
        <v>298</v>
      </c>
      <c r="F167" s="4"/>
    </row>
    <row r="168" spans="1:7" x14ac:dyDescent="0.2">
      <c r="A168" t="s">
        <v>206</v>
      </c>
      <c r="B168" t="s">
        <v>1</v>
      </c>
      <c r="C168" t="s">
        <v>2</v>
      </c>
      <c r="D168" t="s">
        <v>2</v>
      </c>
      <c r="E168" t="s">
        <v>31</v>
      </c>
      <c r="F168" s="4" t="s">
        <v>42</v>
      </c>
    </row>
    <row r="169" spans="1:7" x14ac:dyDescent="0.2">
      <c r="F169" s="4"/>
    </row>
    <row r="170" spans="1:7" x14ac:dyDescent="0.2">
      <c r="A170" s="1" t="s">
        <v>299</v>
      </c>
      <c r="F170" s="4"/>
    </row>
    <row r="171" spans="1:7" x14ac:dyDescent="0.2">
      <c r="A171" t="s">
        <v>207</v>
      </c>
      <c r="B171" t="s">
        <v>1</v>
      </c>
      <c r="C171" t="s">
        <v>1</v>
      </c>
      <c r="D171" t="s">
        <v>2</v>
      </c>
      <c r="E171" t="s">
        <v>39</v>
      </c>
      <c r="F171" s="4" t="s">
        <v>57</v>
      </c>
      <c r="G171" s="2"/>
    </row>
    <row r="172" spans="1:7" x14ac:dyDescent="0.2">
      <c r="A172" t="s">
        <v>208</v>
      </c>
      <c r="B172" t="s">
        <v>2</v>
      </c>
      <c r="C172" t="s">
        <v>2</v>
      </c>
      <c r="D172" t="s">
        <v>1</v>
      </c>
      <c r="E172" t="s">
        <v>31</v>
      </c>
      <c r="F172" s="4" t="s">
        <v>67</v>
      </c>
    </row>
    <row r="173" spans="1:7" x14ac:dyDescent="0.2">
      <c r="A173" t="s">
        <v>209</v>
      </c>
      <c r="B173" t="s">
        <v>1</v>
      </c>
      <c r="C173" t="s">
        <v>2</v>
      </c>
      <c r="D173" t="s">
        <v>1</v>
      </c>
      <c r="E173" t="s">
        <v>31</v>
      </c>
      <c r="F173" s="4" t="s">
        <v>79</v>
      </c>
    </row>
    <row r="174" spans="1:7" x14ac:dyDescent="0.2">
      <c r="A174" t="s">
        <v>210</v>
      </c>
      <c r="B174" t="s">
        <v>1</v>
      </c>
      <c r="C174" t="s">
        <v>1</v>
      </c>
      <c r="D174" t="s">
        <v>2</v>
      </c>
      <c r="E174" t="s">
        <v>45</v>
      </c>
      <c r="F174" s="4" t="s">
        <v>120</v>
      </c>
    </row>
    <row r="175" spans="1:7" x14ac:dyDescent="0.2">
      <c r="A175" t="s">
        <v>211</v>
      </c>
      <c r="B175" t="s">
        <v>1</v>
      </c>
      <c r="C175" t="s">
        <v>2</v>
      </c>
      <c r="D175" t="s">
        <v>1</v>
      </c>
      <c r="E175" t="s">
        <v>31</v>
      </c>
      <c r="F175" s="4" t="s">
        <v>55</v>
      </c>
    </row>
    <row r="176" spans="1:7" x14ac:dyDescent="0.2">
      <c r="A176" t="s">
        <v>212</v>
      </c>
      <c r="B176" t="s">
        <v>2</v>
      </c>
      <c r="C176" t="s">
        <v>2</v>
      </c>
      <c r="D176" t="s">
        <v>2</v>
      </c>
      <c r="E176" t="s">
        <v>31</v>
      </c>
      <c r="F176" s="5" t="s">
        <v>74</v>
      </c>
    </row>
    <row r="177" spans="1:6" x14ac:dyDescent="0.2">
      <c r="A177" t="s">
        <v>213</v>
      </c>
      <c r="B177" t="s">
        <v>1</v>
      </c>
      <c r="C177" t="s">
        <v>2</v>
      </c>
      <c r="D177" t="s">
        <v>1</v>
      </c>
      <c r="E177" t="s">
        <v>31</v>
      </c>
      <c r="F177" s="4" t="s">
        <v>88</v>
      </c>
    </row>
    <row r="178" spans="1:6" x14ac:dyDescent="0.2">
      <c r="A178" t="s">
        <v>214</v>
      </c>
      <c r="B178" t="s">
        <v>2</v>
      </c>
      <c r="C178" t="s">
        <v>2</v>
      </c>
      <c r="D178" t="s">
        <v>1</v>
      </c>
      <c r="E178" t="s">
        <v>31</v>
      </c>
      <c r="F178" s="4" t="s">
        <v>67</v>
      </c>
    </row>
    <row r="179" spans="1:6" x14ac:dyDescent="0.2">
      <c r="F179" s="4"/>
    </row>
    <row r="180" spans="1:6" x14ac:dyDescent="0.2">
      <c r="A180" s="1" t="s">
        <v>300</v>
      </c>
      <c r="F180" s="4"/>
    </row>
    <row r="181" spans="1:6" x14ac:dyDescent="0.2">
      <c r="A181" t="s">
        <v>758</v>
      </c>
      <c r="B181" t="s">
        <v>1</v>
      </c>
      <c r="C181" t="s">
        <v>1</v>
      </c>
      <c r="D181" t="s">
        <v>2</v>
      </c>
      <c r="E181" t="s">
        <v>29</v>
      </c>
      <c r="F181" s="4" t="s">
        <v>725</v>
      </c>
    </row>
    <row r="182" spans="1:6" x14ac:dyDescent="0.2">
      <c r="A182" t="s">
        <v>215</v>
      </c>
      <c r="B182" t="s">
        <v>1</v>
      </c>
      <c r="C182" t="s">
        <v>1</v>
      </c>
      <c r="D182" t="s">
        <v>2</v>
      </c>
      <c r="E182" t="s">
        <v>29</v>
      </c>
      <c r="F182" s="4" t="s">
        <v>64</v>
      </c>
    </row>
    <row r="183" spans="1:6" x14ac:dyDescent="0.2">
      <c r="A183" t="s">
        <v>216</v>
      </c>
      <c r="B183" t="s">
        <v>1</v>
      </c>
      <c r="C183" t="s">
        <v>1</v>
      </c>
      <c r="D183" t="s">
        <v>2</v>
      </c>
      <c r="E183" t="s">
        <v>29</v>
      </c>
      <c r="F183" s="4" t="s">
        <v>64</v>
      </c>
    </row>
    <row r="184" spans="1:6" x14ac:dyDescent="0.2">
      <c r="A184" t="s">
        <v>217</v>
      </c>
      <c r="B184" t="s">
        <v>1</v>
      </c>
      <c r="C184" t="s">
        <v>1</v>
      </c>
      <c r="D184" t="s">
        <v>2</v>
      </c>
      <c r="E184" t="s">
        <v>29</v>
      </c>
      <c r="F184" s="4" t="s">
        <v>64</v>
      </c>
    </row>
    <row r="185" spans="1:6" x14ac:dyDescent="0.2">
      <c r="A185" t="s">
        <v>759</v>
      </c>
      <c r="B185" t="s">
        <v>1</v>
      </c>
      <c r="C185" t="s">
        <v>1</v>
      </c>
      <c r="D185" t="s">
        <v>2</v>
      </c>
      <c r="E185" t="s">
        <v>29</v>
      </c>
      <c r="F185" s="4" t="s">
        <v>725</v>
      </c>
    </row>
    <row r="186" spans="1:6" x14ac:dyDescent="0.2">
      <c r="A186" t="s">
        <v>218</v>
      </c>
      <c r="B186" t="s">
        <v>1</v>
      </c>
      <c r="C186" t="s">
        <v>1</v>
      </c>
      <c r="D186" t="s">
        <v>2</v>
      </c>
      <c r="E186" t="s">
        <v>96</v>
      </c>
      <c r="F186" s="4" t="s">
        <v>38</v>
      </c>
    </row>
    <row r="187" spans="1:6" x14ac:dyDescent="0.2">
      <c r="A187" t="s">
        <v>760</v>
      </c>
      <c r="B187" t="s">
        <v>2</v>
      </c>
      <c r="C187" t="s">
        <v>2</v>
      </c>
      <c r="D187" t="s">
        <v>2</v>
      </c>
      <c r="E187" t="s">
        <v>31</v>
      </c>
      <c r="F187" s="4" t="s">
        <v>725</v>
      </c>
    </row>
    <row r="188" spans="1:6" x14ac:dyDescent="0.2">
      <c r="A188" t="s">
        <v>219</v>
      </c>
      <c r="B188" t="s">
        <v>1</v>
      </c>
      <c r="C188" t="s">
        <v>1</v>
      </c>
      <c r="D188" t="s">
        <v>2</v>
      </c>
      <c r="E188" t="s">
        <v>54</v>
      </c>
      <c r="F188" s="4" t="s">
        <v>100</v>
      </c>
    </row>
    <row r="189" spans="1:6" x14ac:dyDescent="0.2">
      <c r="A189" t="s">
        <v>220</v>
      </c>
      <c r="B189" t="s">
        <v>1</v>
      </c>
      <c r="C189" t="s">
        <v>1</v>
      </c>
      <c r="D189" t="s">
        <v>2</v>
      </c>
      <c r="E189" t="s">
        <v>29</v>
      </c>
      <c r="F189" s="4" t="s">
        <v>130</v>
      </c>
    </row>
    <row r="190" spans="1:6" x14ac:dyDescent="0.2">
      <c r="A190" t="s">
        <v>645</v>
      </c>
      <c r="B190" t="s">
        <v>2</v>
      </c>
      <c r="C190" t="s">
        <v>2</v>
      </c>
      <c r="D190" t="s">
        <v>2</v>
      </c>
      <c r="E190" t="s">
        <v>31</v>
      </c>
      <c r="F190" s="4" t="s">
        <v>558</v>
      </c>
    </row>
    <row r="191" spans="1:6" x14ac:dyDescent="0.2">
      <c r="A191" t="s">
        <v>221</v>
      </c>
      <c r="B191" t="s">
        <v>1</v>
      </c>
      <c r="C191" t="s">
        <v>1</v>
      </c>
      <c r="D191" t="s">
        <v>2</v>
      </c>
      <c r="E191" t="s">
        <v>41</v>
      </c>
      <c r="F191" s="4" t="s">
        <v>38</v>
      </c>
    </row>
    <row r="192" spans="1:6" x14ac:dyDescent="0.2">
      <c r="F192" s="4"/>
    </row>
    <row r="193" spans="1:6" x14ac:dyDescent="0.2">
      <c r="A193" s="1" t="s">
        <v>222</v>
      </c>
      <c r="F193" s="4"/>
    </row>
    <row r="194" spans="1:6" x14ac:dyDescent="0.2">
      <c r="A194" t="s">
        <v>223</v>
      </c>
      <c r="B194" t="s">
        <v>2</v>
      </c>
      <c r="C194" t="s">
        <v>2</v>
      </c>
      <c r="D194" t="s">
        <v>1</v>
      </c>
      <c r="E194" t="s">
        <v>31</v>
      </c>
      <c r="F194" s="4" t="s">
        <v>67</v>
      </c>
    </row>
    <row r="195" spans="1:6" x14ac:dyDescent="0.2">
      <c r="F195" s="4"/>
    </row>
    <row r="196" spans="1:6" x14ac:dyDescent="0.2">
      <c r="A196" s="1" t="s">
        <v>301</v>
      </c>
      <c r="F196" s="4"/>
    </row>
    <row r="197" spans="1:6" x14ac:dyDescent="0.2">
      <c r="A197" t="s">
        <v>224</v>
      </c>
      <c r="B197" t="s">
        <v>1</v>
      </c>
      <c r="C197" t="s">
        <v>1</v>
      </c>
      <c r="D197" t="s">
        <v>2</v>
      </c>
      <c r="E197" t="s">
        <v>29</v>
      </c>
      <c r="F197" s="4" t="s">
        <v>74</v>
      </c>
    </row>
    <row r="198" spans="1:6" x14ac:dyDescent="0.2">
      <c r="F198" s="4"/>
    </row>
    <row r="199" spans="1:6" x14ac:dyDescent="0.2">
      <c r="A199" s="1" t="s">
        <v>302</v>
      </c>
      <c r="F199" s="4"/>
    </row>
    <row r="200" spans="1:6" x14ac:dyDescent="0.2">
      <c r="A200" t="s">
        <v>225</v>
      </c>
      <c r="B200" t="s">
        <v>1</v>
      </c>
      <c r="C200" t="s">
        <v>1</v>
      </c>
      <c r="D200" t="s">
        <v>2</v>
      </c>
      <c r="E200" t="s">
        <v>32</v>
      </c>
      <c r="F200" s="4" t="s">
        <v>74</v>
      </c>
    </row>
    <row r="201" spans="1:6" x14ac:dyDescent="0.2">
      <c r="A201" t="s">
        <v>686</v>
      </c>
      <c r="B201" t="s">
        <v>2</v>
      </c>
      <c r="C201" t="s">
        <v>2</v>
      </c>
      <c r="D201" t="s">
        <v>1</v>
      </c>
      <c r="E201" t="s">
        <v>31</v>
      </c>
      <c r="F201" s="4" t="s">
        <v>55</v>
      </c>
    </row>
    <row r="202" spans="1:6" x14ac:dyDescent="0.2">
      <c r="A202" t="s">
        <v>226</v>
      </c>
      <c r="B202" t="s">
        <v>2</v>
      </c>
      <c r="C202" t="s">
        <v>2</v>
      </c>
      <c r="D202" t="s">
        <v>1</v>
      </c>
      <c r="E202" t="s">
        <v>31</v>
      </c>
      <c r="F202" s="4" t="s">
        <v>55</v>
      </c>
    </row>
    <row r="203" spans="1:6" x14ac:dyDescent="0.2">
      <c r="F203" s="4"/>
    </row>
    <row r="204" spans="1:6" x14ac:dyDescent="0.2">
      <c r="A204" s="1" t="s">
        <v>303</v>
      </c>
      <c r="F204" s="4"/>
    </row>
    <row r="205" spans="1:6" x14ac:dyDescent="0.2">
      <c r="A205" t="s">
        <v>227</v>
      </c>
      <c r="B205" t="s">
        <v>1</v>
      </c>
      <c r="C205" t="s">
        <v>1</v>
      </c>
      <c r="D205" t="s">
        <v>2</v>
      </c>
      <c r="E205" t="s">
        <v>96</v>
      </c>
      <c r="F205" s="4" t="s">
        <v>38</v>
      </c>
    </row>
    <row r="206" spans="1:6" x14ac:dyDescent="0.2">
      <c r="F206" s="4"/>
    </row>
    <row r="207" spans="1:6" x14ac:dyDescent="0.2">
      <c r="A207" s="1" t="s">
        <v>304</v>
      </c>
      <c r="F207" s="4"/>
    </row>
    <row r="208" spans="1:6" x14ac:dyDescent="0.2">
      <c r="A208" t="s">
        <v>228</v>
      </c>
      <c r="B208" t="s">
        <v>2</v>
      </c>
      <c r="C208" t="s">
        <v>2</v>
      </c>
      <c r="D208" t="s">
        <v>1</v>
      </c>
      <c r="E208" t="s">
        <v>31</v>
      </c>
      <c r="F208" s="5" t="s">
        <v>103</v>
      </c>
    </row>
    <row r="209" spans="1:6" x14ac:dyDescent="0.2">
      <c r="F209" s="4"/>
    </row>
    <row r="210" spans="1:6" x14ac:dyDescent="0.2">
      <c r="A210" s="1" t="s">
        <v>306</v>
      </c>
      <c r="F210" s="4"/>
    </row>
    <row r="211" spans="1:6" x14ac:dyDescent="0.2">
      <c r="A211" t="s">
        <v>229</v>
      </c>
      <c r="B211" t="s">
        <v>1</v>
      </c>
      <c r="C211" t="s">
        <v>1</v>
      </c>
      <c r="D211" t="s">
        <v>2</v>
      </c>
      <c r="E211" t="s">
        <v>29</v>
      </c>
      <c r="F211" s="4" t="s">
        <v>30</v>
      </c>
    </row>
    <row r="212" spans="1:6" x14ac:dyDescent="0.2">
      <c r="A212" t="s">
        <v>230</v>
      </c>
      <c r="B212" t="s">
        <v>1</v>
      </c>
      <c r="C212" t="s">
        <v>2</v>
      </c>
      <c r="D212" t="s">
        <v>1</v>
      </c>
      <c r="E212" t="s">
        <v>31</v>
      </c>
      <c r="F212" s="4" t="s">
        <v>79</v>
      </c>
    </row>
    <row r="213" spans="1:6" x14ac:dyDescent="0.2">
      <c r="F213" s="4"/>
    </row>
    <row r="214" spans="1:6" x14ac:dyDescent="0.2">
      <c r="A214" s="1" t="s">
        <v>231</v>
      </c>
      <c r="F214" s="4"/>
    </row>
    <row r="215" spans="1:6" x14ac:dyDescent="0.2">
      <c r="A215" t="s">
        <v>232</v>
      </c>
      <c r="B215" t="s">
        <v>1</v>
      </c>
      <c r="C215" t="s">
        <v>1</v>
      </c>
      <c r="D215" t="s">
        <v>2</v>
      </c>
      <c r="E215" t="s">
        <v>125</v>
      </c>
      <c r="F215" s="4" t="s">
        <v>64</v>
      </c>
    </row>
    <row r="216" spans="1:6" x14ac:dyDescent="0.2">
      <c r="A216" t="s">
        <v>233</v>
      </c>
      <c r="B216" t="s">
        <v>1</v>
      </c>
      <c r="C216" t="s">
        <v>1</v>
      </c>
      <c r="D216" t="s">
        <v>2</v>
      </c>
      <c r="E216" t="s">
        <v>29</v>
      </c>
      <c r="F216" s="4" t="s">
        <v>124</v>
      </c>
    </row>
    <row r="217" spans="1:6" x14ac:dyDescent="0.2">
      <c r="F217" s="4"/>
    </row>
    <row r="218" spans="1:6" x14ac:dyDescent="0.2">
      <c r="A218" s="1" t="s">
        <v>307</v>
      </c>
      <c r="F218" s="4"/>
    </row>
    <row r="219" spans="1:6" x14ac:dyDescent="0.2">
      <c r="A219" t="s">
        <v>234</v>
      </c>
      <c r="B219" t="s">
        <v>1</v>
      </c>
      <c r="C219" t="s">
        <v>2</v>
      </c>
      <c r="D219" t="s">
        <v>2</v>
      </c>
      <c r="E219" t="s">
        <v>31</v>
      </c>
      <c r="F219" s="4" t="s">
        <v>113</v>
      </c>
    </row>
    <row r="220" spans="1:6" x14ac:dyDescent="0.2">
      <c r="F220" s="4"/>
    </row>
    <row r="221" spans="1:6" x14ac:dyDescent="0.2">
      <c r="A221" t="s">
        <v>646</v>
      </c>
      <c r="F221" s="4"/>
    </row>
    <row r="222" spans="1:6" x14ac:dyDescent="0.2">
      <c r="A222" t="s">
        <v>647</v>
      </c>
      <c r="B222" t="s">
        <v>2</v>
      </c>
      <c r="C222" t="s">
        <v>2</v>
      </c>
      <c r="D222" t="s">
        <v>2</v>
      </c>
      <c r="E222" t="s">
        <v>31</v>
      </c>
      <c r="F222" s="4" t="s">
        <v>558</v>
      </c>
    </row>
    <row r="223" spans="1:6" x14ac:dyDescent="0.2">
      <c r="F223" s="4"/>
    </row>
    <row r="224" spans="1:6" x14ac:dyDescent="0.2">
      <c r="A224" t="s">
        <v>761</v>
      </c>
      <c r="F224" s="4"/>
    </row>
    <row r="225" spans="1:6" x14ac:dyDescent="0.2">
      <c r="A225" t="s">
        <v>762</v>
      </c>
      <c r="B225" t="s">
        <v>1</v>
      </c>
      <c r="C225" t="s">
        <v>1</v>
      </c>
      <c r="D225" t="s">
        <v>2</v>
      </c>
      <c r="E225" t="s">
        <v>29</v>
      </c>
      <c r="F225" s="4" t="s">
        <v>725</v>
      </c>
    </row>
    <row r="226" spans="1:6" x14ac:dyDescent="0.2">
      <c r="F226" s="4"/>
    </row>
    <row r="227" spans="1:6" x14ac:dyDescent="0.2">
      <c r="A227" t="s">
        <v>709</v>
      </c>
      <c r="F227" s="4"/>
    </row>
    <row r="228" spans="1:6" x14ac:dyDescent="0.2">
      <c r="A228" t="s">
        <v>710</v>
      </c>
      <c r="B228" t="s">
        <v>1</v>
      </c>
      <c r="C228" t="s">
        <v>1</v>
      </c>
      <c r="D228" t="s">
        <v>2</v>
      </c>
      <c r="E228" t="s">
        <v>689</v>
      </c>
      <c r="F228" s="4" t="s">
        <v>690</v>
      </c>
    </row>
    <row r="229" spans="1:6" x14ac:dyDescent="0.2">
      <c r="F229" s="4"/>
    </row>
    <row r="230" spans="1:6" x14ac:dyDescent="0.2">
      <c r="A230" s="1" t="s">
        <v>308</v>
      </c>
      <c r="F230" s="4"/>
    </row>
    <row r="231" spans="1:6" x14ac:dyDescent="0.2">
      <c r="A231" t="s">
        <v>235</v>
      </c>
      <c r="B231" t="s">
        <v>1</v>
      </c>
      <c r="C231" t="s">
        <v>2</v>
      </c>
      <c r="D231" t="s">
        <v>1</v>
      </c>
      <c r="E231" t="s">
        <v>31</v>
      </c>
      <c r="F231" s="5" t="s">
        <v>69</v>
      </c>
    </row>
    <row r="232" spans="1:6" x14ac:dyDescent="0.2">
      <c r="F232" s="4"/>
    </row>
    <row r="233" spans="1:6" x14ac:dyDescent="0.2">
      <c r="A233" s="1" t="s">
        <v>309</v>
      </c>
      <c r="F233" s="4"/>
    </row>
    <row r="234" spans="1:6" x14ac:dyDescent="0.2">
      <c r="A234" t="s">
        <v>236</v>
      </c>
      <c r="B234" t="s">
        <v>2</v>
      </c>
      <c r="C234" t="s">
        <v>2</v>
      </c>
      <c r="D234" t="s">
        <v>2</v>
      </c>
      <c r="E234" t="s">
        <v>31</v>
      </c>
      <c r="F234" s="5" t="s">
        <v>38</v>
      </c>
    </row>
    <row r="235" spans="1:6" x14ac:dyDescent="0.2">
      <c r="A235" t="s">
        <v>763</v>
      </c>
      <c r="B235" t="s">
        <v>2</v>
      </c>
      <c r="C235" t="s">
        <v>2</v>
      </c>
      <c r="D235" t="s">
        <v>2</v>
      </c>
      <c r="E235" t="s">
        <v>31</v>
      </c>
      <c r="F235" s="5" t="s">
        <v>725</v>
      </c>
    </row>
    <row r="236" spans="1:6" x14ac:dyDescent="0.2">
      <c r="F236" s="5"/>
    </row>
    <row r="237" spans="1:6" x14ac:dyDescent="0.2">
      <c r="A237" t="s">
        <v>713</v>
      </c>
      <c r="F237" s="5"/>
    </row>
    <row r="238" spans="1:6" x14ac:dyDescent="0.2">
      <c r="A238" t="s">
        <v>714</v>
      </c>
      <c r="B238" t="s">
        <v>1</v>
      </c>
      <c r="C238" t="s">
        <v>1</v>
      </c>
      <c r="D238" t="s">
        <v>2</v>
      </c>
      <c r="E238" t="s">
        <v>689</v>
      </c>
      <c r="F238" s="4" t="s">
        <v>690</v>
      </c>
    </row>
    <row r="239" spans="1:6" x14ac:dyDescent="0.2">
      <c r="F239" s="4"/>
    </row>
    <row r="240" spans="1:6" x14ac:dyDescent="0.2">
      <c r="A240" t="s">
        <v>691</v>
      </c>
      <c r="F240" s="4"/>
    </row>
    <row r="241" spans="1:6" x14ac:dyDescent="0.2">
      <c r="A241" t="s">
        <v>692</v>
      </c>
      <c r="B241" t="s">
        <v>1</v>
      </c>
      <c r="C241" t="s">
        <v>1</v>
      </c>
      <c r="D241" t="s">
        <v>2</v>
      </c>
      <c r="E241" t="s">
        <v>689</v>
      </c>
      <c r="F241" s="4" t="s">
        <v>690</v>
      </c>
    </row>
    <row r="242" spans="1:6" x14ac:dyDescent="0.2">
      <c r="F242" s="4"/>
    </row>
    <row r="243" spans="1:6" x14ac:dyDescent="0.2">
      <c r="A243" s="1" t="s">
        <v>310</v>
      </c>
      <c r="F243" s="4"/>
    </row>
    <row r="244" spans="1:6" x14ac:dyDescent="0.2">
      <c r="A244" t="s">
        <v>237</v>
      </c>
      <c r="B244" t="s">
        <v>1</v>
      </c>
      <c r="C244" t="s">
        <v>1</v>
      </c>
      <c r="D244" t="s">
        <v>2</v>
      </c>
      <c r="E244" t="s">
        <v>31</v>
      </c>
      <c r="F244" s="4" t="s">
        <v>30</v>
      </c>
    </row>
    <row r="245" spans="1:6" x14ac:dyDescent="0.2">
      <c r="A245" t="s">
        <v>238</v>
      </c>
      <c r="B245" t="s">
        <v>1</v>
      </c>
      <c r="C245" t="s">
        <v>1</v>
      </c>
      <c r="D245" t="s">
        <v>2</v>
      </c>
      <c r="E245" t="s">
        <v>31</v>
      </c>
      <c r="F245" s="4" t="s">
        <v>30</v>
      </c>
    </row>
    <row r="246" spans="1:6" x14ac:dyDescent="0.2">
      <c r="A246" t="s">
        <v>239</v>
      </c>
      <c r="B246" t="s">
        <v>2</v>
      </c>
      <c r="C246" t="s">
        <v>2</v>
      </c>
      <c r="D246" t="s">
        <v>1</v>
      </c>
      <c r="E246" t="s">
        <v>31</v>
      </c>
      <c r="F246" s="4" t="s">
        <v>79</v>
      </c>
    </row>
    <row r="247" spans="1:6" x14ac:dyDescent="0.2">
      <c r="A247" t="s">
        <v>240</v>
      </c>
      <c r="B247" t="s">
        <v>1</v>
      </c>
      <c r="C247" t="s">
        <v>1</v>
      </c>
      <c r="D247" t="s">
        <v>2</v>
      </c>
      <c r="E247" t="s">
        <v>32</v>
      </c>
      <c r="F247" s="4" t="s">
        <v>720</v>
      </c>
    </row>
    <row r="248" spans="1:6" x14ac:dyDescent="0.2">
      <c r="A248" t="s">
        <v>241</v>
      </c>
      <c r="B248" t="s">
        <v>1</v>
      </c>
      <c r="C248" t="s">
        <v>1</v>
      </c>
      <c r="D248" t="s">
        <v>2</v>
      </c>
      <c r="E248" t="s">
        <v>721</v>
      </c>
      <c r="F248" s="4" t="s">
        <v>720</v>
      </c>
    </row>
    <row r="249" spans="1:6" x14ac:dyDescent="0.2">
      <c r="A249" t="s">
        <v>242</v>
      </c>
      <c r="B249" t="s">
        <v>2</v>
      </c>
      <c r="C249" t="s">
        <v>2</v>
      </c>
      <c r="D249" t="s">
        <v>1</v>
      </c>
      <c r="E249" t="s">
        <v>31</v>
      </c>
      <c r="F249" s="4" t="s">
        <v>79</v>
      </c>
    </row>
    <row r="250" spans="1:6" x14ac:dyDescent="0.2">
      <c r="F250" s="4"/>
    </row>
    <row r="251" spans="1:6" x14ac:dyDescent="0.2">
      <c r="A251" s="1" t="s">
        <v>243</v>
      </c>
      <c r="F251" s="4"/>
    </row>
    <row r="252" spans="1:6" x14ac:dyDescent="0.2">
      <c r="A252" t="s">
        <v>244</v>
      </c>
      <c r="B252" t="s">
        <v>1</v>
      </c>
      <c r="C252" t="s">
        <v>1</v>
      </c>
      <c r="D252" t="s">
        <v>2</v>
      </c>
      <c r="E252" t="s">
        <v>39</v>
      </c>
      <c r="F252" s="4" t="s">
        <v>120</v>
      </c>
    </row>
    <row r="253" spans="1:6" x14ac:dyDescent="0.2">
      <c r="A253" t="s">
        <v>245</v>
      </c>
      <c r="B253" t="s">
        <v>1</v>
      </c>
      <c r="C253" t="s">
        <v>1</v>
      </c>
      <c r="D253" t="s">
        <v>2</v>
      </c>
      <c r="E253" t="s">
        <v>45</v>
      </c>
      <c r="F253" s="4" t="s">
        <v>120</v>
      </c>
    </row>
    <row r="254" spans="1:6" x14ac:dyDescent="0.2">
      <c r="A254" t="s">
        <v>644</v>
      </c>
      <c r="B254" t="s">
        <v>2</v>
      </c>
      <c r="C254" t="s">
        <v>2</v>
      </c>
      <c r="D254" t="s">
        <v>2</v>
      </c>
      <c r="E254" t="s">
        <v>31</v>
      </c>
      <c r="F254" s="4" t="s">
        <v>558</v>
      </c>
    </row>
    <row r="255" spans="1:6" x14ac:dyDescent="0.2">
      <c r="F255" s="4"/>
    </row>
    <row r="256" spans="1:6" x14ac:dyDescent="0.2">
      <c r="A256" s="1" t="s">
        <v>311</v>
      </c>
      <c r="F256" s="4"/>
    </row>
    <row r="257" spans="1:6" x14ac:dyDescent="0.2">
      <c r="A257" t="s">
        <v>764</v>
      </c>
      <c r="B257" t="s">
        <v>1</v>
      </c>
      <c r="C257" t="s">
        <v>1</v>
      </c>
      <c r="D257" t="s">
        <v>2</v>
      </c>
      <c r="E257" t="s">
        <v>29</v>
      </c>
      <c r="F257" s="4" t="s">
        <v>725</v>
      </c>
    </row>
    <row r="258" spans="1:6" x14ac:dyDescent="0.2">
      <c r="A258" t="s">
        <v>246</v>
      </c>
      <c r="B258" t="s">
        <v>1</v>
      </c>
      <c r="C258" t="s">
        <v>1</v>
      </c>
      <c r="D258" t="s">
        <v>2</v>
      </c>
      <c r="E258" t="s">
        <v>96</v>
      </c>
      <c r="F258" s="5" t="s">
        <v>38</v>
      </c>
    </row>
    <row r="259" spans="1:6" x14ac:dyDescent="0.2">
      <c r="A259" t="s">
        <v>765</v>
      </c>
      <c r="B259" t="s">
        <v>1</v>
      </c>
      <c r="C259" t="s">
        <v>1</v>
      </c>
      <c r="D259" t="s">
        <v>2</v>
      </c>
      <c r="E259" t="s">
        <v>29</v>
      </c>
      <c r="F259" s="4" t="s">
        <v>725</v>
      </c>
    </row>
    <row r="260" spans="1:6" x14ac:dyDescent="0.2">
      <c r="F260" s="4"/>
    </row>
    <row r="261" spans="1:6" x14ac:dyDescent="0.2">
      <c r="A261" s="1" t="s">
        <v>312</v>
      </c>
      <c r="F261" s="4"/>
    </row>
    <row r="262" spans="1:6" x14ac:dyDescent="0.2">
      <c r="A262" t="s">
        <v>247</v>
      </c>
      <c r="B262" t="s">
        <v>1</v>
      </c>
      <c r="C262" t="s">
        <v>1</v>
      </c>
      <c r="D262" t="s">
        <v>2</v>
      </c>
      <c r="E262" t="s">
        <v>29</v>
      </c>
      <c r="F262" s="4" t="s">
        <v>44</v>
      </c>
    </row>
    <row r="263" spans="1:6" x14ac:dyDescent="0.2">
      <c r="F263" s="4"/>
    </row>
    <row r="264" spans="1:6" x14ac:dyDescent="0.2">
      <c r="A264" s="1" t="s">
        <v>313</v>
      </c>
      <c r="F264" s="4"/>
    </row>
    <row r="265" spans="1:6" x14ac:dyDescent="0.2">
      <c r="A265" t="s">
        <v>248</v>
      </c>
      <c r="B265" t="s">
        <v>1</v>
      </c>
      <c r="C265" t="s">
        <v>1</v>
      </c>
      <c r="D265" t="s">
        <v>2</v>
      </c>
      <c r="E265" t="s">
        <v>39</v>
      </c>
      <c r="F265" s="4" t="s">
        <v>64</v>
      </c>
    </row>
    <row r="266" spans="1:6" x14ac:dyDescent="0.2">
      <c r="A266" t="s">
        <v>249</v>
      </c>
      <c r="B266" t="s">
        <v>1</v>
      </c>
      <c r="C266" t="s">
        <v>1</v>
      </c>
      <c r="D266" t="s">
        <v>2</v>
      </c>
      <c r="E266" s="4" t="s">
        <v>75</v>
      </c>
      <c r="F266" s="4" t="s">
        <v>106</v>
      </c>
    </row>
    <row r="267" spans="1:6" x14ac:dyDescent="0.2">
      <c r="A267" t="s">
        <v>250</v>
      </c>
      <c r="B267" t="s">
        <v>1</v>
      </c>
      <c r="C267" t="s">
        <v>1</v>
      </c>
      <c r="D267" t="s">
        <v>2</v>
      </c>
      <c r="E267" t="s">
        <v>29</v>
      </c>
      <c r="F267" s="4" t="s">
        <v>64</v>
      </c>
    </row>
    <row r="268" spans="1:6" x14ac:dyDescent="0.2">
      <c r="A268" t="s">
        <v>251</v>
      </c>
      <c r="B268" t="s">
        <v>1</v>
      </c>
      <c r="C268" t="s">
        <v>1</v>
      </c>
      <c r="D268" t="s">
        <v>2</v>
      </c>
      <c r="E268" t="s">
        <v>29</v>
      </c>
      <c r="F268" s="4" t="s">
        <v>64</v>
      </c>
    </row>
    <row r="269" spans="1:6" x14ac:dyDescent="0.2">
      <c r="A269" t="s">
        <v>252</v>
      </c>
      <c r="B269" t="s">
        <v>1</v>
      </c>
      <c r="C269" t="s">
        <v>1</v>
      </c>
      <c r="D269" t="s">
        <v>2</v>
      </c>
      <c r="E269" t="s">
        <v>29</v>
      </c>
      <c r="F269" s="4" t="s">
        <v>64</v>
      </c>
    </row>
    <row r="270" spans="1:6" x14ac:dyDescent="0.2">
      <c r="A270" t="s">
        <v>253</v>
      </c>
      <c r="B270" t="s">
        <v>1</v>
      </c>
      <c r="C270" t="s">
        <v>1</v>
      </c>
      <c r="D270" t="s">
        <v>2</v>
      </c>
      <c r="E270" t="s">
        <v>29</v>
      </c>
      <c r="F270" s="4" t="s">
        <v>64</v>
      </c>
    </row>
    <row r="271" spans="1:6" x14ac:dyDescent="0.2">
      <c r="A271" t="s">
        <v>251</v>
      </c>
      <c r="B271" t="s">
        <v>1</v>
      </c>
      <c r="C271" t="s">
        <v>1</v>
      </c>
      <c r="D271" t="s">
        <v>2</v>
      </c>
      <c r="E271" t="s">
        <v>29</v>
      </c>
      <c r="F271" s="4" t="s">
        <v>64</v>
      </c>
    </row>
    <row r="272" spans="1:6" x14ac:dyDescent="0.2">
      <c r="A272" t="s">
        <v>254</v>
      </c>
      <c r="B272" t="s">
        <v>1</v>
      </c>
      <c r="C272" t="s">
        <v>1</v>
      </c>
      <c r="D272" t="s">
        <v>2</v>
      </c>
      <c r="E272" t="s">
        <v>29</v>
      </c>
      <c r="F272" s="4" t="s">
        <v>64</v>
      </c>
    </row>
    <row r="273" spans="1:7" x14ac:dyDescent="0.2">
      <c r="A273" t="s">
        <v>255</v>
      </c>
      <c r="B273" t="s">
        <v>1</v>
      </c>
      <c r="C273" t="s">
        <v>2</v>
      </c>
      <c r="D273" t="s">
        <v>2</v>
      </c>
      <c r="E273" t="s">
        <v>107</v>
      </c>
      <c r="F273" s="4" t="s">
        <v>108</v>
      </c>
    </row>
    <row r="274" spans="1:7" x14ac:dyDescent="0.2">
      <c r="A274" t="s">
        <v>256</v>
      </c>
      <c r="B274" t="s">
        <v>1</v>
      </c>
      <c r="C274" t="s">
        <v>1</v>
      </c>
      <c r="D274" t="s">
        <v>2</v>
      </c>
      <c r="E274" t="s">
        <v>29</v>
      </c>
      <c r="F274" s="4" t="s">
        <v>130</v>
      </c>
    </row>
    <row r="275" spans="1:7" x14ac:dyDescent="0.2">
      <c r="A275" t="s">
        <v>257</v>
      </c>
      <c r="B275" t="s">
        <v>2</v>
      </c>
      <c r="C275" t="s">
        <v>2</v>
      </c>
      <c r="D275" t="s">
        <v>132</v>
      </c>
      <c r="E275" s="4" t="s">
        <v>133</v>
      </c>
      <c r="F275" s="4" t="s">
        <v>130</v>
      </c>
    </row>
    <row r="276" spans="1:7" x14ac:dyDescent="0.2">
      <c r="F276" s="4"/>
    </row>
    <row r="277" spans="1:7" x14ac:dyDescent="0.2">
      <c r="A277" s="1" t="s">
        <v>314</v>
      </c>
      <c r="F277" s="4"/>
    </row>
    <row r="278" spans="1:7" x14ac:dyDescent="0.2">
      <c r="A278" t="s">
        <v>258</v>
      </c>
      <c r="B278" t="s">
        <v>1</v>
      </c>
      <c r="C278" t="s">
        <v>1</v>
      </c>
      <c r="D278" t="s">
        <v>2</v>
      </c>
      <c r="E278" t="s">
        <v>31</v>
      </c>
      <c r="F278" s="4" t="s">
        <v>30</v>
      </c>
    </row>
    <row r="279" spans="1:7" x14ac:dyDescent="0.2">
      <c r="A279" t="s">
        <v>259</v>
      </c>
      <c r="B279" t="s">
        <v>2</v>
      </c>
      <c r="C279" t="s">
        <v>2</v>
      </c>
      <c r="D279" t="s">
        <v>1</v>
      </c>
      <c r="E279" s="2" t="s">
        <v>31</v>
      </c>
      <c r="F279" s="5" t="s">
        <v>79</v>
      </c>
      <c r="G279" s="2"/>
    </row>
    <row r="280" spans="1:7" x14ac:dyDescent="0.2">
      <c r="F280" s="4"/>
    </row>
    <row r="281" spans="1:7" x14ac:dyDescent="0.2">
      <c r="A281" s="1" t="s">
        <v>315</v>
      </c>
      <c r="F281" s="4"/>
    </row>
    <row r="282" spans="1:7" x14ac:dyDescent="0.2">
      <c r="A282" t="s">
        <v>260</v>
      </c>
      <c r="B282" t="s">
        <v>1</v>
      </c>
      <c r="C282" t="s">
        <v>1</v>
      </c>
      <c r="D282" t="s">
        <v>2</v>
      </c>
      <c r="E282" t="s">
        <v>41</v>
      </c>
      <c r="F282" s="5" t="s">
        <v>38</v>
      </c>
    </row>
    <row r="283" spans="1:7" x14ac:dyDescent="0.2">
      <c r="F283" s="5"/>
    </row>
    <row r="284" spans="1:7" x14ac:dyDescent="0.2">
      <c r="A284" s="1" t="s">
        <v>316</v>
      </c>
      <c r="F284" s="5"/>
    </row>
    <row r="285" spans="1:7" s="9" customFormat="1" x14ac:dyDescent="0.2">
      <c r="A285" t="s">
        <v>261</v>
      </c>
      <c r="B285" t="s">
        <v>1</v>
      </c>
      <c r="C285" t="s">
        <v>1</v>
      </c>
      <c r="D285" t="s">
        <v>2</v>
      </c>
      <c r="E285" t="s">
        <v>29</v>
      </c>
      <c r="F285" s="5" t="s">
        <v>130</v>
      </c>
      <c r="G285"/>
    </row>
    <row r="286" spans="1:7" x14ac:dyDescent="0.2">
      <c r="F286" s="4"/>
    </row>
    <row r="287" spans="1:7" x14ac:dyDescent="0.2">
      <c r="A287" s="1" t="s">
        <v>317</v>
      </c>
      <c r="F287" s="4"/>
    </row>
    <row r="288" spans="1:7" x14ac:dyDescent="0.2">
      <c r="A288" t="s">
        <v>262</v>
      </c>
      <c r="B288" t="s">
        <v>2</v>
      </c>
      <c r="C288" t="s">
        <v>2</v>
      </c>
      <c r="D288" t="s">
        <v>2</v>
      </c>
      <c r="E288" t="s">
        <v>31</v>
      </c>
      <c r="F288" s="5" t="s">
        <v>38</v>
      </c>
    </row>
    <row r="289" spans="1:6" x14ac:dyDescent="0.2">
      <c r="F289" s="4"/>
    </row>
    <row r="290" spans="1:6" x14ac:dyDescent="0.2">
      <c r="A290" s="1" t="s">
        <v>318</v>
      </c>
      <c r="F290" s="4"/>
    </row>
    <row r="291" spans="1:6" x14ac:dyDescent="0.2">
      <c r="A291" t="s">
        <v>263</v>
      </c>
      <c r="B291" t="s">
        <v>1</v>
      </c>
      <c r="C291" t="s">
        <v>1</v>
      </c>
      <c r="D291" t="s">
        <v>2</v>
      </c>
      <c r="E291" t="s">
        <v>29</v>
      </c>
      <c r="F291" s="4" t="s">
        <v>44</v>
      </c>
    </row>
    <row r="292" spans="1:6" ht="17" customHeight="1" x14ac:dyDescent="0.2">
      <c r="A292" t="s">
        <v>264</v>
      </c>
      <c r="B292" t="s">
        <v>1</v>
      </c>
      <c r="C292" t="s">
        <v>2</v>
      </c>
      <c r="D292" t="s">
        <v>2</v>
      </c>
      <c r="E292" t="s">
        <v>128</v>
      </c>
      <c r="F292" s="4" t="s">
        <v>129</v>
      </c>
    </row>
    <row r="293" spans="1:6" ht="17" customHeight="1" x14ac:dyDescent="0.2">
      <c r="A293" t="s">
        <v>652</v>
      </c>
      <c r="B293" t="s">
        <v>2</v>
      </c>
      <c r="C293" t="s">
        <v>2</v>
      </c>
      <c r="D293" t="s">
        <v>2</v>
      </c>
      <c r="E293" t="s">
        <v>31</v>
      </c>
      <c r="F293" s="4" t="s">
        <v>558</v>
      </c>
    </row>
    <row r="294" spans="1:6" x14ac:dyDescent="0.2">
      <c r="F294" s="4"/>
    </row>
    <row r="295" spans="1:6" x14ac:dyDescent="0.2">
      <c r="A295" s="1" t="s">
        <v>712</v>
      </c>
      <c r="F295" s="4"/>
    </row>
    <row r="296" spans="1:6" x14ac:dyDescent="0.2">
      <c r="A296" t="s">
        <v>711</v>
      </c>
      <c r="B296" t="s">
        <v>1</v>
      </c>
      <c r="C296" t="s">
        <v>1</v>
      </c>
      <c r="D296" t="s">
        <v>2</v>
      </c>
      <c r="E296" t="s">
        <v>689</v>
      </c>
      <c r="F296" s="5" t="s">
        <v>690</v>
      </c>
    </row>
    <row r="297" spans="1:6" x14ac:dyDescent="0.2">
      <c r="F297" s="4"/>
    </row>
    <row r="298" spans="1:6" x14ac:dyDescent="0.2">
      <c r="A298" s="1" t="s">
        <v>265</v>
      </c>
      <c r="F298" s="4"/>
    </row>
    <row r="299" spans="1:6" x14ac:dyDescent="0.2">
      <c r="A299" t="s">
        <v>266</v>
      </c>
      <c r="B299" t="s">
        <v>1</v>
      </c>
      <c r="C299" t="s">
        <v>1</v>
      </c>
      <c r="D299" t="s">
        <v>2</v>
      </c>
      <c r="E299" t="s">
        <v>45</v>
      </c>
      <c r="F299" s="4" t="s">
        <v>120</v>
      </c>
    </row>
    <row r="300" spans="1:6" x14ac:dyDescent="0.2">
      <c r="F300" s="4"/>
    </row>
    <row r="301" spans="1:6" x14ac:dyDescent="0.2">
      <c r="A301" s="1" t="s">
        <v>319</v>
      </c>
      <c r="F301" s="4"/>
    </row>
    <row r="302" spans="1:6" x14ac:dyDescent="0.2">
      <c r="A302" t="s">
        <v>267</v>
      </c>
      <c r="B302" t="s">
        <v>2</v>
      </c>
      <c r="C302" t="s">
        <v>2</v>
      </c>
      <c r="D302" t="s">
        <v>2</v>
      </c>
      <c r="E302" t="s">
        <v>31</v>
      </c>
      <c r="F302" s="5" t="s">
        <v>38</v>
      </c>
    </row>
    <row r="303" spans="1:6" x14ac:dyDescent="0.2">
      <c r="F303" s="5"/>
    </row>
    <row r="304" spans="1:6" x14ac:dyDescent="0.2">
      <c r="A304" s="1" t="s">
        <v>268</v>
      </c>
      <c r="E304" s="4"/>
      <c r="F304" s="4"/>
    </row>
    <row r="305" spans="1:6" x14ac:dyDescent="0.2">
      <c r="A305" t="s">
        <v>269</v>
      </c>
      <c r="B305" t="s">
        <v>1</v>
      </c>
      <c r="C305" t="s">
        <v>1</v>
      </c>
      <c r="D305" t="s">
        <v>2</v>
      </c>
      <c r="E305" s="8" t="s">
        <v>122</v>
      </c>
      <c r="F305" s="4" t="s">
        <v>120</v>
      </c>
    </row>
    <row r="306" spans="1:6" x14ac:dyDescent="0.2">
      <c r="E306" s="8"/>
      <c r="F306" s="4"/>
    </row>
    <row r="307" spans="1:6" x14ac:dyDescent="0.2">
      <c r="A307" s="1" t="s">
        <v>320</v>
      </c>
      <c r="E307" s="8"/>
      <c r="F307" s="4"/>
    </row>
    <row r="308" spans="1:6" x14ac:dyDescent="0.2">
      <c r="A308" t="s">
        <v>270</v>
      </c>
      <c r="B308" t="s">
        <v>1</v>
      </c>
      <c r="C308" t="s">
        <v>1</v>
      </c>
      <c r="D308" t="s">
        <v>2</v>
      </c>
      <c r="E308" s="8" t="s">
        <v>29</v>
      </c>
      <c r="F308" s="4" t="s">
        <v>130</v>
      </c>
    </row>
    <row r="309" spans="1:6" x14ac:dyDescent="0.2">
      <c r="F309" s="4"/>
    </row>
    <row r="310" spans="1:6" x14ac:dyDescent="0.2">
      <c r="A310" s="1" t="s">
        <v>321</v>
      </c>
      <c r="F310" s="4"/>
    </row>
    <row r="311" spans="1:6" x14ac:dyDescent="0.2">
      <c r="A311" t="s">
        <v>143</v>
      </c>
      <c r="B311" t="s">
        <v>2</v>
      </c>
      <c r="C311" t="s">
        <v>2</v>
      </c>
      <c r="D311" t="s">
        <v>2</v>
      </c>
      <c r="E311" t="s">
        <v>31</v>
      </c>
      <c r="F311" s="5" t="s">
        <v>38</v>
      </c>
    </row>
    <row r="312" spans="1:6" x14ac:dyDescent="0.2">
      <c r="F312" s="5"/>
    </row>
    <row r="313" spans="1:6" x14ac:dyDescent="0.2">
      <c r="A313" s="1" t="s">
        <v>651</v>
      </c>
      <c r="F313" s="5"/>
    </row>
    <row r="314" spans="1:6" x14ac:dyDescent="0.2">
      <c r="A314" t="s">
        <v>650</v>
      </c>
      <c r="B314" t="s">
        <v>2</v>
      </c>
      <c r="C314" t="s">
        <v>2</v>
      </c>
      <c r="D314" t="s">
        <v>2</v>
      </c>
      <c r="E314" t="s">
        <v>31</v>
      </c>
      <c r="F314" s="4" t="s">
        <v>558</v>
      </c>
    </row>
    <row r="315" spans="1:6" x14ac:dyDescent="0.2">
      <c r="F315" s="5"/>
    </row>
    <row r="316" spans="1:6" x14ac:dyDescent="0.2">
      <c r="A316" s="1" t="s">
        <v>648</v>
      </c>
      <c r="F316" s="5"/>
    </row>
    <row r="317" spans="1:6" x14ac:dyDescent="0.2">
      <c r="A317" t="s">
        <v>649</v>
      </c>
      <c r="B317" t="s">
        <v>2</v>
      </c>
      <c r="C317" t="s">
        <v>2</v>
      </c>
      <c r="D317" t="s">
        <v>2</v>
      </c>
      <c r="E317" t="s">
        <v>31</v>
      </c>
      <c r="F317" s="4" t="s">
        <v>558</v>
      </c>
    </row>
    <row r="318" spans="1:6" x14ac:dyDescent="0.2">
      <c r="F318" s="4"/>
    </row>
    <row r="319" spans="1:6" x14ac:dyDescent="0.2">
      <c r="A319" s="11" t="s">
        <v>544</v>
      </c>
      <c r="B319" s="19" t="s">
        <v>546</v>
      </c>
      <c r="C319" s="23" t="s">
        <v>548</v>
      </c>
      <c r="D319" s="25" t="s">
        <v>550</v>
      </c>
    </row>
    <row r="320" spans="1:6" x14ac:dyDescent="0.2">
      <c r="A320" s="12">
        <f>COUNTIF(A4:A317,"*$*")</f>
        <v>81</v>
      </c>
      <c r="B320" s="20">
        <f>COUNTIF(B5:B317,"*Yes*")</f>
        <v>119</v>
      </c>
      <c r="C320" s="24">
        <f>COUNTIF(C5:C317,"*Yes*")</f>
        <v>98</v>
      </c>
      <c r="D320" s="26">
        <f>COUNTIF(D5:D317,"*Yes*")</f>
        <v>26</v>
      </c>
    </row>
    <row r="321" spans="1:3" x14ac:dyDescent="0.2">
      <c r="A321" s="13" t="s">
        <v>545</v>
      </c>
      <c r="B321" s="21" t="s">
        <v>547</v>
      </c>
      <c r="C321" s="15" t="s">
        <v>549</v>
      </c>
    </row>
    <row r="322" spans="1:3" x14ac:dyDescent="0.2">
      <c r="A322" s="14">
        <f>COUNTIF(A4:A317,"*^*")</f>
        <v>153</v>
      </c>
      <c r="B322" s="22">
        <f>COUNTIF(B5:B317,"*No*")</f>
        <v>34</v>
      </c>
      <c r="C322" s="16">
        <f>COUNTIF(C5:C317,"*No*")</f>
        <v>55</v>
      </c>
    </row>
  </sheetData>
  <mergeCells count="1">
    <mergeCell ref="A1:C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DD606-C264-D84F-8980-201AA6E68D75}">
  <dimension ref="A1:G13"/>
  <sheetViews>
    <sheetView workbookViewId="0">
      <selection activeCell="C19" sqref="C19"/>
    </sheetView>
  </sheetViews>
  <sheetFormatPr baseColWidth="10" defaultRowHeight="16" x14ac:dyDescent="0.2"/>
  <cols>
    <col min="1" max="1" width="34.83203125" customWidth="1"/>
    <col min="2" max="2" width="31" bestFit="1" customWidth="1"/>
    <col min="3" max="3" width="25.1640625" customWidth="1"/>
    <col min="4" max="4" width="22.33203125" customWidth="1"/>
    <col min="5" max="5" width="18.5" customWidth="1"/>
    <col min="6" max="6" width="18.33203125" customWidth="1"/>
  </cols>
  <sheetData>
    <row r="1" spans="1:7" x14ac:dyDescent="0.2">
      <c r="A1" s="37" t="s">
        <v>15</v>
      </c>
      <c r="B1" s="37"/>
      <c r="C1" s="37"/>
      <c r="D1" s="13" t="s">
        <v>141</v>
      </c>
      <c r="E1" s="27" t="s">
        <v>526</v>
      </c>
      <c r="F1" s="11" t="s">
        <v>142</v>
      </c>
      <c r="G1" s="28" t="s">
        <v>527</v>
      </c>
    </row>
    <row r="2" spans="1:7" x14ac:dyDescent="0.2">
      <c r="A2" s="37"/>
      <c r="B2" s="37"/>
      <c r="C2" s="37"/>
    </row>
    <row r="3" spans="1:7" x14ac:dyDescent="0.2">
      <c r="B3" s="1" t="s">
        <v>540</v>
      </c>
      <c r="C3" s="1" t="s">
        <v>539</v>
      </c>
      <c r="D3" s="1" t="s">
        <v>24</v>
      </c>
      <c r="E3" s="1" t="s">
        <v>26</v>
      </c>
      <c r="F3" s="1" t="s">
        <v>27</v>
      </c>
      <c r="G3" s="1"/>
    </row>
    <row r="4" spans="1:7" x14ac:dyDescent="0.2">
      <c r="A4" s="1" t="s">
        <v>323</v>
      </c>
    </row>
    <row r="5" spans="1:7" x14ac:dyDescent="0.2">
      <c r="A5" t="s">
        <v>322</v>
      </c>
      <c r="B5" t="s">
        <v>1</v>
      </c>
      <c r="C5" t="s">
        <v>2</v>
      </c>
      <c r="D5" t="s">
        <v>1</v>
      </c>
      <c r="E5" t="s">
        <v>31</v>
      </c>
      <c r="F5" s="4" t="s">
        <v>99</v>
      </c>
    </row>
    <row r="6" spans="1:7" x14ac:dyDescent="0.2">
      <c r="F6" s="4"/>
    </row>
    <row r="7" spans="1:7" x14ac:dyDescent="0.2">
      <c r="A7" s="1" t="s">
        <v>722</v>
      </c>
      <c r="F7" s="4"/>
    </row>
    <row r="8" spans="1:7" x14ac:dyDescent="0.2">
      <c r="A8" t="s">
        <v>723</v>
      </c>
      <c r="B8" t="s">
        <v>1</v>
      </c>
      <c r="C8" t="s">
        <v>1</v>
      </c>
      <c r="D8" t="s">
        <v>2</v>
      </c>
      <c r="E8" t="s">
        <v>724</v>
      </c>
      <c r="F8" s="4" t="s">
        <v>725</v>
      </c>
    </row>
    <row r="10" spans="1:7" x14ac:dyDescent="0.2">
      <c r="A10" s="11" t="s">
        <v>544</v>
      </c>
      <c r="B10" s="19" t="s">
        <v>546</v>
      </c>
      <c r="C10" s="23" t="s">
        <v>548</v>
      </c>
      <c r="D10" s="25" t="s">
        <v>550</v>
      </c>
    </row>
    <row r="11" spans="1:7" x14ac:dyDescent="0.2">
      <c r="A11" s="12">
        <f>COUNTIF(A4:A9,"*$*")</f>
        <v>2</v>
      </c>
      <c r="B11" s="20">
        <f>COUNTIF(B4:B9,"*Yes*")</f>
        <v>2</v>
      </c>
      <c r="C11" s="24">
        <f>COUNTIF(C4:C9,"*Yes*")</f>
        <v>1</v>
      </c>
      <c r="D11" s="26">
        <f>COUNTIF(D4:D9,"*Yes*")</f>
        <v>1</v>
      </c>
    </row>
    <row r="12" spans="1:7" x14ac:dyDescent="0.2">
      <c r="A12" s="13" t="s">
        <v>545</v>
      </c>
      <c r="B12" s="21" t="s">
        <v>547</v>
      </c>
      <c r="C12" s="15" t="s">
        <v>549</v>
      </c>
    </row>
    <row r="13" spans="1:7" x14ac:dyDescent="0.2">
      <c r="A13" s="14">
        <f>COUNTIF(A4:A9,"*^*")</f>
        <v>2</v>
      </c>
      <c r="B13" s="22">
        <f>COUNTIF(B4:B9,"*No*")</f>
        <v>0</v>
      </c>
      <c r="C13" s="16">
        <f>COUNTIF(C4:C9,"*No*")</f>
        <v>1</v>
      </c>
    </row>
  </sheetData>
  <mergeCells count="1">
    <mergeCell ref="A1:C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24135-036E-5E48-B7DB-703A00A85FDD}">
  <dimension ref="A1:G66"/>
  <sheetViews>
    <sheetView topLeftCell="A31" workbookViewId="0">
      <selection activeCell="A60" sqref="A60"/>
    </sheetView>
  </sheetViews>
  <sheetFormatPr baseColWidth="10" defaultRowHeight="16" x14ac:dyDescent="0.2"/>
  <cols>
    <col min="1" max="1" width="26" customWidth="1"/>
    <col min="2" max="2" width="30.5" customWidth="1"/>
    <col min="3" max="3" width="25.5" customWidth="1"/>
    <col min="4" max="4" width="22.5" customWidth="1"/>
    <col min="5" max="5" width="18.83203125" customWidth="1"/>
    <col min="6" max="6" width="15.1640625" customWidth="1"/>
  </cols>
  <sheetData>
    <row r="1" spans="1:7" x14ac:dyDescent="0.2">
      <c r="A1" s="37" t="s">
        <v>9</v>
      </c>
      <c r="B1" s="37"/>
      <c r="C1" s="37"/>
      <c r="D1" s="29" t="s">
        <v>141</v>
      </c>
      <c r="E1" s="30" t="s">
        <v>695</v>
      </c>
      <c r="F1" s="31" t="s">
        <v>142</v>
      </c>
      <c r="G1" s="32" t="s">
        <v>694</v>
      </c>
    </row>
    <row r="2" spans="1:7" x14ac:dyDescent="0.2">
      <c r="A2" s="37"/>
      <c r="B2" s="37"/>
      <c r="C2" s="37"/>
    </row>
    <row r="3" spans="1:7" x14ac:dyDescent="0.2">
      <c r="B3" s="1" t="s">
        <v>540</v>
      </c>
      <c r="C3" s="1" t="s">
        <v>539</v>
      </c>
      <c r="D3" s="1" t="s">
        <v>24</v>
      </c>
      <c r="E3" s="1" t="s">
        <v>26</v>
      </c>
      <c r="F3" s="1" t="s">
        <v>27</v>
      </c>
      <c r="G3" s="1"/>
    </row>
    <row r="4" spans="1:7" s="1" customFormat="1" x14ac:dyDescent="0.2">
      <c r="A4" s="1" t="s">
        <v>577</v>
      </c>
    </row>
    <row r="5" spans="1:7" x14ac:dyDescent="0.2">
      <c r="A5" t="s">
        <v>578</v>
      </c>
      <c r="B5" t="s">
        <v>1</v>
      </c>
      <c r="C5" t="s">
        <v>2</v>
      </c>
      <c r="D5" t="s">
        <v>2</v>
      </c>
      <c r="E5" t="s">
        <v>31</v>
      </c>
      <c r="F5" s="4" t="s">
        <v>558</v>
      </c>
      <c r="G5" s="1"/>
    </row>
    <row r="6" spans="1:7" x14ac:dyDescent="0.2">
      <c r="B6" s="1"/>
      <c r="C6" s="1"/>
      <c r="D6" s="1"/>
      <c r="E6" s="1"/>
      <c r="F6" s="1"/>
      <c r="G6" s="1"/>
    </row>
    <row r="7" spans="1:7" x14ac:dyDescent="0.2">
      <c r="A7" s="1" t="s">
        <v>333</v>
      </c>
    </row>
    <row r="8" spans="1:7" x14ac:dyDescent="0.2">
      <c r="A8" t="s">
        <v>576</v>
      </c>
      <c r="B8" t="s">
        <v>1</v>
      </c>
      <c r="C8" t="s">
        <v>2</v>
      </c>
      <c r="D8" t="s">
        <v>2</v>
      </c>
      <c r="E8" t="s">
        <v>31</v>
      </c>
      <c r="F8" s="4" t="s">
        <v>558</v>
      </c>
    </row>
    <row r="9" spans="1:7" x14ac:dyDescent="0.2">
      <c r="A9" t="s">
        <v>324</v>
      </c>
      <c r="B9" t="s">
        <v>1</v>
      </c>
      <c r="C9" t="s">
        <v>1</v>
      </c>
      <c r="D9" t="s">
        <v>1</v>
      </c>
      <c r="E9" t="s">
        <v>84</v>
      </c>
      <c r="F9" s="4" t="s">
        <v>68</v>
      </c>
    </row>
    <row r="10" spans="1:7" x14ac:dyDescent="0.2">
      <c r="F10" s="4"/>
    </row>
    <row r="11" spans="1:7" s="1" customFormat="1" x14ac:dyDescent="0.2">
      <c r="A11" s="1" t="s">
        <v>559</v>
      </c>
      <c r="F11" s="10"/>
    </row>
    <row r="12" spans="1:7" x14ac:dyDescent="0.2">
      <c r="A12" t="s">
        <v>560</v>
      </c>
      <c r="B12" t="s">
        <v>1</v>
      </c>
      <c r="C12" t="s">
        <v>2</v>
      </c>
      <c r="D12" t="s">
        <v>2</v>
      </c>
      <c r="E12" t="s">
        <v>31</v>
      </c>
      <c r="F12" s="4" t="s">
        <v>558</v>
      </c>
    </row>
    <row r="13" spans="1:7" x14ac:dyDescent="0.2">
      <c r="F13" s="4"/>
    </row>
    <row r="14" spans="1:7" x14ac:dyDescent="0.2">
      <c r="A14" s="1" t="s">
        <v>561</v>
      </c>
      <c r="F14" s="4"/>
    </row>
    <row r="15" spans="1:7" x14ac:dyDescent="0.2">
      <c r="A15" t="s">
        <v>562</v>
      </c>
      <c r="B15" t="s">
        <v>1</v>
      </c>
      <c r="C15" t="s">
        <v>2</v>
      </c>
      <c r="D15" t="s">
        <v>2</v>
      </c>
      <c r="E15" t="s">
        <v>31</v>
      </c>
      <c r="F15" s="4" t="s">
        <v>558</v>
      </c>
    </row>
    <row r="16" spans="1:7" x14ac:dyDescent="0.2">
      <c r="A16" t="s">
        <v>565</v>
      </c>
      <c r="B16" t="s">
        <v>2</v>
      </c>
      <c r="C16" t="s">
        <v>2</v>
      </c>
      <c r="D16" t="s">
        <v>2</v>
      </c>
      <c r="E16" t="s">
        <v>31</v>
      </c>
      <c r="F16" s="4" t="s">
        <v>558</v>
      </c>
    </row>
    <row r="17" spans="1:6" x14ac:dyDescent="0.2">
      <c r="F17" s="4"/>
    </row>
    <row r="18" spans="1:6" x14ac:dyDescent="0.2">
      <c r="A18" s="1" t="s">
        <v>325</v>
      </c>
      <c r="F18" s="4"/>
    </row>
    <row r="19" spans="1:6" x14ac:dyDescent="0.2">
      <c r="A19" t="s">
        <v>326</v>
      </c>
      <c r="B19" t="s">
        <v>1</v>
      </c>
      <c r="C19" t="s">
        <v>1</v>
      </c>
      <c r="D19" t="s">
        <v>2</v>
      </c>
      <c r="E19" t="s">
        <v>39</v>
      </c>
      <c r="F19" s="4" t="s">
        <v>76</v>
      </c>
    </row>
    <row r="20" spans="1:6" x14ac:dyDescent="0.2">
      <c r="F20" s="4"/>
    </row>
    <row r="21" spans="1:6" x14ac:dyDescent="0.2">
      <c r="A21" s="1" t="s">
        <v>327</v>
      </c>
      <c r="F21" s="4"/>
    </row>
    <row r="22" spans="1:6" x14ac:dyDescent="0.2">
      <c r="A22" t="s">
        <v>328</v>
      </c>
      <c r="B22" t="s">
        <v>1</v>
      </c>
      <c r="C22" t="s">
        <v>2</v>
      </c>
      <c r="D22" t="s">
        <v>1</v>
      </c>
      <c r="E22" t="s">
        <v>31</v>
      </c>
      <c r="F22" s="4" t="s">
        <v>77</v>
      </c>
    </row>
    <row r="23" spans="1:6" x14ac:dyDescent="0.2">
      <c r="F23" s="4"/>
    </row>
    <row r="24" spans="1:6" x14ac:dyDescent="0.2">
      <c r="A24" t="s">
        <v>566</v>
      </c>
      <c r="F24" s="4"/>
    </row>
    <row r="25" spans="1:6" x14ac:dyDescent="0.2">
      <c r="A25" t="s">
        <v>567</v>
      </c>
      <c r="B25" t="s">
        <v>2</v>
      </c>
      <c r="C25" t="s">
        <v>2</v>
      </c>
      <c r="D25" t="s">
        <v>2</v>
      </c>
      <c r="E25" t="s">
        <v>31</v>
      </c>
      <c r="F25" s="4" t="s">
        <v>558</v>
      </c>
    </row>
    <row r="26" spans="1:6" x14ac:dyDescent="0.2">
      <c r="A26" t="s">
        <v>568</v>
      </c>
      <c r="B26" t="s">
        <v>2</v>
      </c>
      <c r="C26" t="s">
        <v>2</v>
      </c>
      <c r="D26" t="s">
        <v>2</v>
      </c>
      <c r="E26" t="s">
        <v>31</v>
      </c>
      <c r="F26" s="4" t="s">
        <v>571</v>
      </c>
    </row>
    <row r="27" spans="1:6" x14ac:dyDescent="0.2">
      <c r="A27" t="s">
        <v>569</v>
      </c>
      <c r="B27" t="s">
        <v>2</v>
      </c>
      <c r="C27" t="s">
        <v>2</v>
      </c>
      <c r="D27" t="s">
        <v>2</v>
      </c>
      <c r="E27" t="s">
        <v>31</v>
      </c>
      <c r="F27" s="4" t="s">
        <v>572</v>
      </c>
    </row>
    <row r="28" spans="1:6" x14ac:dyDescent="0.2">
      <c r="A28" t="s">
        <v>570</v>
      </c>
      <c r="B28" t="s">
        <v>1</v>
      </c>
      <c r="C28" t="s">
        <v>2</v>
      </c>
      <c r="D28" t="s">
        <v>2</v>
      </c>
      <c r="E28" t="s">
        <v>31</v>
      </c>
      <c r="F28" s="4" t="s">
        <v>573</v>
      </c>
    </row>
    <row r="30" spans="1:6" x14ac:dyDescent="0.2">
      <c r="A30" t="s">
        <v>656</v>
      </c>
    </row>
    <row r="31" spans="1:6" x14ac:dyDescent="0.2">
      <c r="A31" t="s">
        <v>657</v>
      </c>
      <c r="B31" t="s">
        <v>2</v>
      </c>
      <c r="C31" t="s">
        <v>2</v>
      </c>
      <c r="D31" t="s">
        <v>1</v>
      </c>
      <c r="E31" t="s">
        <v>31</v>
      </c>
      <c r="F31" s="4" t="s">
        <v>658</v>
      </c>
    </row>
    <row r="33" spans="1:6" s="1" customFormat="1" x14ac:dyDescent="0.2">
      <c r="A33" s="1" t="s">
        <v>575</v>
      </c>
      <c r="F33" s="10"/>
    </row>
    <row r="34" spans="1:6" x14ac:dyDescent="0.2">
      <c r="A34" t="s">
        <v>574</v>
      </c>
      <c r="B34" t="s">
        <v>2</v>
      </c>
      <c r="C34" t="s">
        <v>2</v>
      </c>
      <c r="D34" t="s">
        <v>2</v>
      </c>
      <c r="E34" t="s">
        <v>31</v>
      </c>
      <c r="F34" s="4" t="s">
        <v>573</v>
      </c>
    </row>
    <row r="35" spans="1:6" x14ac:dyDescent="0.2">
      <c r="F35" s="4"/>
    </row>
    <row r="36" spans="1:6" x14ac:dyDescent="0.2">
      <c r="A36" s="1" t="s">
        <v>334</v>
      </c>
      <c r="F36" s="4"/>
    </row>
    <row r="37" spans="1:6" x14ac:dyDescent="0.2">
      <c r="A37" t="s">
        <v>329</v>
      </c>
      <c r="B37" t="s">
        <v>1</v>
      </c>
      <c r="C37" t="s">
        <v>2</v>
      </c>
      <c r="D37" t="s">
        <v>1</v>
      </c>
      <c r="E37" t="s">
        <v>31</v>
      </c>
      <c r="F37" s="4" t="s">
        <v>85</v>
      </c>
    </row>
    <row r="38" spans="1:6" x14ac:dyDescent="0.2">
      <c r="F38" s="4"/>
    </row>
    <row r="39" spans="1:6" x14ac:dyDescent="0.2">
      <c r="A39" s="1" t="s">
        <v>563</v>
      </c>
      <c r="F39" s="4"/>
    </row>
    <row r="40" spans="1:6" x14ac:dyDescent="0.2">
      <c r="A40" t="s">
        <v>564</v>
      </c>
      <c r="B40" t="s">
        <v>2</v>
      </c>
      <c r="C40" t="s">
        <v>2</v>
      </c>
      <c r="D40" t="s">
        <v>2</v>
      </c>
      <c r="E40" t="s">
        <v>31</v>
      </c>
      <c r="F40" s="4" t="s">
        <v>558</v>
      </c>
    </row>
    <row r="41" spans="1:6" x14ac:dyDescent="0.2">
      <c r="F41" s="4"/>
    </row>
    <row r="42" spans="1:6" x14ac:dyDescent="0.2">
      <c r="A42" s="1" t="s">
        <v>659</v>
      </c>
      <c r="F42" s="4"/>
    </row>
    <row r="43" spans="1:6" x14ac:dyDescent="0.2">
      <c r="A43" t="s">
        <v>660</v>
      </c>
      <c r="B43" t="s">
        <v>1</v>
      </c>
      <c r="C43" t="s">
        <v>2</v>
      </c>
      <c r="D43" t="s">
        <v>1</v>
      </c>
      <c r="E43" t="s">
        <v>31</v>
      </c>
      <c r="F43" s="4" t="s">
        <v>661</v>
      </c>
    </row>
    <row r="44" spans="1:6" x14ac:dyDescent="0.2">
      <c r="F44" s="4"/>
    </row>
    <row r="45" spans="1:6" x14ac:dyDescent="0.2">
      <c r="A45" s="1" t="s">
        <v>335</v>
      </c>
      <c r="F45" s="4"/>
    </row>
    <row r="46" spans="1:6" x14ac:dyDescent="0.2">
      <c r="A46" t="s">
        <v>330</v>
      </c>
      <c r="B46" t="s">
        <v>1</v>
      </c>
      <c r="C46" t="s">
        <v>1</v>
      </c>
      <c r="D46" t="s">
        <v>2</v>
      </c>
      <c r="E46" t="s">
        <v>84</v>
      </c>
      <c r="F46" s="4" t="s">
        <v>719</v>
      </c>
    </row>
    <row r="47" spans="1:6" x14ac:dyDescent="0.2">
      <c r="F47" s="4"/>
    </row>
    <row r="48" spans="1:6" x14ac:dyDescent="0.2">
      <c r="A48" s="1" t="s">
        <v>336</v>
      </c>
      <c r="F48" s="4"/>
    </row>
    <row r="49" spans="1:6" x14ac:dyDescent="0.2">
      <c r="A49" t="s">
        <v>331</v>
      </c>
      <c r="B49" t="s">
        <v>2</v>
      </c>
      <c r="C49" t="s">
        <v>2</v>
      </c>
      <c r="D49" t="s">
        <v>1</v>
      </c>
      <c r="E49" t="s">
        <v>31</v>
      </c>
      <c r="F49" s="4" t="s">
        <v>77</v>
      </c>
    </row>
    <row r="50" spans="1:6" x14ac:dyDescent="0.2">
      <c r="F50" s="4"/>
    </row>
    <row r="51" spans="1:6" x14ac:dyDescent="0.2">
      <c r="A51" s="1" t="s">
        <v>556</v>
      </c>
      <c r="F51" s="4"/>
    </row>
    <row r="52" spans="1:6" x14ac:dyDescent="0.2">
      <c r="A52" t="s">
        <v>557</v>
      </c>
      <c r="B52" t="s">
        <v>1</v>
      </c>
      <c r="C52" t="s">
        <v>1</v>
      </c>
      <c r="D52" t="s">
        <v>2</v>
      </c>
      <c r="E52" t="s">
        <v>84</v>
      </c>
      <c r="F52" s="4" t="s">
        <v>558</v>
      </c>
    </row>
    <row r="53" spans="1:6" x14ac:dyDescent="0.2">
      <c r="F53" s="4"/>
    </row>
    <row r="54" spans="1:6" x14ac:dyDescent="0.2">
      <c r="A54" s="1" t="s">
        <v>663</v>
      </c>
    </row>
    <row r="55" spans="1:6" x14ac:dyDescent="0.2">
      <c r="A55" t="s">
        <v>662</v>
      </c>
      <c r="B55" t="s">
        <v>1</v>
      </c>
      <c r="C55" t="s">
        <v>2</v>
      </c>
      <c r="D55" t="s">
        <v>1</v>
      </c>
      <c r="E55" t="s">
        <v>31</v>
      </c>
      <c r="F55" s="4" t="s">
        <v>661</v>
      </c>
    </row>
    <row r="56" spans="1:6" x14ac:dyDescent="0.2">
      <c r="F56" s="4"/>
    </row>
    <row r="57" spans="1:6" x14ac:dyDescent="0.2">
      <c r="A57" s="1" t="s">
        <v>337</v>
      </c>
      <c r="F57" s="4"/>
    </row>
    <row r="58" spans="1:6" x14ac:dyDescent="0.2">
      <c r="A58" t="s">
        <v>332</v>
      </c>
      <c r="B58" t="s">
        <v>1</v>
      </c>
      <c r="C58" t="s">
        <v>1</v>
      </c>
      <c r="D58" t="s">
        <v>2</v>
      </c>
      <c r="E58" t="s">
        <v>726</v>
      </c>
      <c r="F58" s="4" t="s">
        <v>53</v>
      </c>
    </row>
    <row r="59" spans="1:6" x14ac:dyDescent="0.2">
      <c r="F59" s="4"/>
    </row>
    <row r="60" spans="1:6" x14ac:dyDescent="0.2">
      <c r="A60" s="1" t="s">
        <v>757</v>
      </c>
      <c r="F60" s="4"/>
    </row>
    <row r="61" spans="1:6" x14ac:dyDescent="0.2">
      <c r="A61" t="s">
        <v>579</v>
      </c>
      <c r="B61" t="s">
        <v>1</v>
      </c>
      <c r="C61" t="s">
        <v>2</v>
      </c>
      <c r="D61" t="s">
        <v>2</v>
      </c>
      <c r="E61" t="s">
        <v>31</v>
      </c>
      <c r="F61" s="4" t="s">
        <v>558</v>
      </c>
    </row>
    <row r="63" spans="1:6" x14ac:dyDescent="0.2">
      <c r="A63" s="11" t="s">
        <v>544</v>
      </c>
      <c r="B63" s="19" t="s">
        <v>546</v>
      </c>
      <c r="C63" s="23" t="s">
        <v>548</v>
      </c>
      <c r="D63" s="25" t="s">
        <v>550</v>
      </c>
    </row>
    <row r="64" spans="1:6" x14ac:dyDescent="0.2">
      <c r="A64" s="12">
        <f>COUNTIF(A4:A62, "*$*")</f>
        <v>18</v>
      </c>
      <c r="B64" s="20">
        <f>COUNTIF(B4:B62,"*Yes*")</f>
        <v>15</v>
      </c>
      <c r="C64" s="24">
        <f>COUNTIF(C4:C62,"*Yes*")</f>
        <v>5</v>
      </c>
      <c r="D64" s="26">
        <f>COUNTIF(D4:D62,"*Yes*")</f>
        <v>7</v>
      </c>
    </row>
    <row r="65" spans="1:3" x14ac:dyDescent="0.2">
      <c r="A65" s="13" t="s">
        <v>545</v>
      </c>
      <c r="B65" s="21" t="s">
        <v>547</v>
      </c>
      <c r="C65" s="15" t="s">
        <v>549</v>
      </c>
    </row>
    <row r="66" spans="1:3" x14ac:dyDescent="0.2">
      <c r="A66" s="14">
        <f>COUNTIF(A4:A62, "*^*")</f>
        <v>23</v>
      </c>
      <c r="B66" s="22">
        <f>COUNTIF(B4:B62,"*No*")</f>
        <v>8</v>
      </c>
      <c r="C66" s="16">
        <f>COUNTIF(C4:C62,"*No*")</f>
        <v>18</v>
      </c>
    </row>
  </sheetData>
  <mergeCells count="1">
    <mergeCell ref="A1:C2"/>
  </mergeCells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0593F-A2BF-2A4C-A468-4E45CFE668E6}">
  <dimension ref="A1:G80"/>
  <sheetViews>
    <sheetView topLeftCell="A34" workbookViewId="0">
      <selection activeCell="C48" sqref="C48"/>
    </sheetView>
  </sheetViews>
  <sheetFormatPr baseColWidth="10" defaultRowHeight="16" x14ac:dyDescent="0.2"/>
  <cols>
    <col min="1" max="1" width="25.5" customWidth="1"/>
    <col min="2" max="2" width="31.1640625" customWidth="1"/>
    <col min="3" max="3" width="24.5" customWidth="1"/>
    <col min="4" max="4" width="22.5" customWidth="1"/>
    <col min="5" max="5" width="20.33203125" customWidth="1"/>
    <col min="6" max="6" width="19.83203125" customWidth="1"/>
  </cols>
  <sheetData>
    <row r="1" spans="1:7" x14ac:dyDescent="0.2">
      <c r="A1" s="37" t="s">
        <v>5</v>
      </c>
      <c r="B1" s="37"/>
      <c r="C1" s="37"/>
      <c r="D1" s="29" t="s">
        <v>141</v>
      </c>
      <c r="E1" s="30" t="s">
        <v>696</v>
      </c>
      <c r="F1" s="31" t="s">
        <v>142</v>
      </c>
      <c r="G1" s="32" t="s">
        <v>697</v>
      </c>
    </row>
    <row r="2" spans="1:7" x14ac:dyDescent="0.2">
      <c r="A2" s="37"/>
      <c r="B2" s="37"/>
      <c r="C2" s="37"/>
    </row>
    <row r="3" spans="1:7" x14ac:dyDescent="0.2">
      <c r="B3" s="1" t="s">
        <v>540</v>
      </c>
      <c r="C3" s="1" t="s">
        <v>539</v>
      </c>
      <c r="D3" s="1" t="s">
        <v>24</v>
      </c>
      <c r="E3" s="1" t="s">
        <v>26</v>
      </c>
      <c r="F3" s="1" t="s">
        <v>27</v>
      </c>
      <c r="G3" s="1"/>
    </row>
    <row r="4" spans="1:7" x14ac:dyDescent="0.2">
      <c r="A4" s="1" t="s">
        <v>353</v>
      </c>
      <c r="B4" s="1"/>
      <c r="C4" s="1"/>
    </row>
    <row r="5" spans="1:7" x14ac:dyDescent="0.2">
      <c r="A5" t="s">
        <v>338</v>
      </c>
      <c r="B5" t="s">
        <v>1</v>
      </c>
      <c r="C5" t="s">
        <v>2</v>
      </c>
      <c r="D5" t="s">
        <v>1</v>
      </c>
      <c r="E5" t="s">
        <v>31</v>
      </c>
      <c r="F5" s="4" t="s">
        <v>43</v>
      </c>
    </row>
    <row r="6" spans="1:7" x14ac:dyDescent="0.2">
      <c r="F6" s="4"/>
    </row>
    <row r="7" spans="1:7" x14ac:dyDescent="0.2">
      <c r="A7" s="1" t="s">
        <v>583</v>
      </c>
      <c r="F7" s="4"/>
    </row>
    <row r="8" spans="1:7" x14ac:dyDescent="0.2">
      <c r="A8" t="s">
        <v>580</v>
      </c>
      <c r="B8" t="s">
        <v>1</v>
      </c>
      <c r="C8" t="s">
        <v>2</v>
      </c>
      <c r="D8" t="s">
        <v>2</v>
      </c>
      <c r="E8" t="s">
        <v>31</v>
      </c>
      <c r="F8" s="4" t="s">
        <v>558</v>
      </c>
    </row>
    <row r="9" spans="1:7" x14ac:dyDescent="0.2">
      <c r="F9" s="4"/>
    </row>
    <row r="10" spans="1:7" x14ac:dyDescent="0.2">
      <c r="A10" s="1" t="s">
        <v>339</v>
      </c>
      <c r="F10" s="4"/>
    </row>
    <row r="11" spans="1:7" x14ac:dyDescent="0.2">
      <c r="A11" t="s">
        <v>664</v>
      </c>
      <c r="B11" t="s">
        <v>1</v>
      </c>
      <c r="C11" t="s">
        <v>1</v>
      </c>
      <c r="D11" t="s">
        <v>2</v>
      </c>
      <c r="E11" t="s">
        <v>39</v>
      </c>
      <c r="F11" s="4" t="s">
        <v>665</v>
      </c>
    </row>
    <row r="12" spans="1:7" x14ac:dyDescent="0.2">
      <c r="A12" t="s">
        <v>596</v>
      </c>
      <c r="B12" t="s">
        <v>1</v>
      </c>
      <c r="C12" t="s">
        <v>2</v>
      </c>
      <c r="D12" t="s">
        <v>2</v>
      </c>
      <c r="E12" t="s">
        <v>31</v>
      </c>
      <c r="F12" s="4" t="s">
        <v>558</v>
      </c>
    </row>
    <row r="13" spans="1:7" x14ac:dyDescent="0.2">
      <c r="A13" t="s">
        <v>340</v>
      </c>
      <c r="B13" t="s">
        <v>1</v>
      </c>
      <c r="C13" t="s">
        <v>1</v>
      </c>
      <c r="D13" t="s">
        <v>2</v>
      </c>
      <c r="E13" t="s">
        <v>54</v>
      </c>
      <c r="F13" s="4" t="s">
        <v>117</v>
      </c>
    </row>
    <row r="14" spans="1:7" x14ac:dyDescent="0.2">
      <c r="F14" s="4"/>
    </row>
    <row r="15" spans="1:7" x14ac:dyDescent="0.2">
      <c r="A15" s="1" t="s">
        <v>354</v>
      </c>
      <c r="F15" s="4"/>
    </row>
    <row r="16" spans="1:7" x14ac:dyDescent="0.2">
      <c r="A16" t="s">
        <v>341</v>
      </c>
      <c r="B16" t="s">
        <v>1</v>
      </c>
      <c r="C16" t="s">
        <v>1</v>
      </c>
      <c r="D16" t="s">
        <v>2</v>
      </c>
      <c r="E16" t="s">
        <v>29</v>
      </c>
      <c r="F16" s="4" t="s">
        <v>82</v>
      </c>
    </row>
    <row r="17" spans="1:6" x14ac:dyDescent="0.2">
      <c r="A17" t="s">
        <v>585</v>
      </c>
      <c r="B17" t="s">
        <v>2</v>
      </c>
      <c r="C17" t="s">
        <v>2</v>
      </c>
      <c r="D17" t="s">
        <v>2</v>
      </c>
      <c r="E17" t="s">
        <v>31</v>
      </c>
      <c r="F17" s="4" t="s">
        <v>558</v>
      </c>
    </row>
    <row r="18" spans="1:6" x14ac:dyDescent="0.2">
      <c r="F18" s="4"/>
    </row>
    <row r="19" spans="1:6" x14ac:dyDescent="0.2">
      <c r="A19" s="1" t="s">
        <v>355</v>
      </c>
      <c r="F19" s="4"/>
    </row>
    <row r="20" spans="1:6" x14ac:dyDescent="0.2">
      <c r="A20" t="s">
        <v>342</v>
      </c>
      <c r="B20" t="s">
        <v>1</v>
      </c>
      <c r="C20" t="s">
        <v>1</v>
      </c>
      <c r="D20" t="s">
        <v>2</v>
      </c>
      <c r="E20" t="s">
        <v>95</v>
      </c>
      <c r="F20" s="4" t="s">
        <v>44</v>
      </c>
    </row>
    <row r="21" spans="1:6" x14ac:dyDescent="0.2">
      <c r="F21" s="4"/>
    </row>
    <row r="22" spans="1:6" x14ac:dyDescent="0.2">
      <c r="A22" s="1" t="s">
        <v>581</v>
      </c>
      <c r="F22" s="4"/>
    </row>
    <row r="23" spans="1:6" x14ac:dyDescent="0.2">
      <c r="A23" t="s">
        <v>582</v>
      </c>
      <c r="B23" t="s">
        <v>1</v>
      </c>
      <c r="C23" t="s">
        <v>2</v>
      </c>
      <c r="D23" t="s">
        <v>2</v>
      </c>
      <c r="E23" t="s">
        <v>31</v>
      </c>
      <c r="F23" s="4" t="s">
        <v>558</v>
      </c>
    </row>
    <row r="24" spans="1:6" x14ac:dyDescent="0.2">
      <c r="F24" s="4"/>
    </row>
    <row r="25" spans="1:6" x14ac:dyDescent="0.2">
      <c r="A25" s="1" t="s">
        <v>598</v>
      </c>
      <c r="F25" s="4"/>
    </row>
    <row r="26" spans="1:6" x14ac:dyDescent="0.2">
      <c r="A26" t="s">
        <v>599</v>
      </c>
      <c r="B26" t="s">
        <v>1</v>
      </c>
      <c r="C26" t="s">
        <v>2</v>
      </c>
      <c r="D26" t="s">
        <v>2</v>
      </c>
      <c r="E26" t="s">
        <v>31</v>
      </c>
      <c r="F26" s="4" t="s">
        <v>558</v>
      </c>
    </row>
    <row r="27" spans="1:6" x14ac:dyDescent="0.2">
      <c r="F27" s="4"/>
    </row>
    <row r="28" spans="1:6" x14ac:dyDescent="0.2">
      <c r="A28" s="1" t="s">
        <v>586</v>
      </c>
      <c r="F28" s="4"/>
    </row>
    <row r="29" spans="1:6" x14ac:dyDescent="0.2">
      <c r="A29" t="s">
        <v>587</v>
      </c>
      <c r="B29" t="s">
        <v>2</v>
      </c>
      <c r="C29" t="s">
        <v>2</v>
      </c>
      <c r="D29" t="s">
        <v>2</v>
      </c>
      <c r="E29" t="s">
        <v>31</v>
      </c>
      <c r="F29" s="4" t="s">
        <v>558</v>
      </c>
    </row>
    <row r="30" spans="1:6" x14ac:dyDescent="0.2">
      <c r="F30" s="4"/>
    </row>
    <row r="31" spans="1:6" x14ac:dyDescent="0.2">
      <c r="A31" s="1" t="s">
        <v>356</v>
      </c>
      <c r="F31" s="4"/>
    </row>
    <row r="32" spans="1:6" x14ac:dyDescent="0.2">
      <c r="A32" t="s">
        <v>343</v>
      </c>
      <c r="B32" t="s">
        <v>1</v>
      </c>
      <c r="C32" t="s">
        <v>2</v>
      </c>
      <c r="D32" t="s">
        <v>1</v>
      </c>
      <c r="E32" t="s">
        <v>31</v>
      </c>
      <c r="F32" s="4" t="s">
        <v>594</v>
      </c>
    </row>
    <row r="33" spans="1:7" x14ac:dyDescent="0.2">
      <c r="A33" t="s">
        <v>595</v>
      </c>
      <c r="B33" t="s">
        <v>2</v>
      </c>
      <c r="C33" t="s">
        <v>2</v>
      </c>
      <c r="D33" t="s">
        <v>2</v>
      </c>
      <c r="E33" t="s">
        <v>31</v>
      </c>
      <c r="F33" s="4" t="s">
        <v>558</v>
      </c>
    </row>
    <row r="34" spans="1:7" x14ac:dyDescent="0.2">
      <c r="F34" s="4"/>
    </row>
    <row r="35" spans="1:7" x14ac:dyDescent="0.2">
      <c r="A35" s="1" t="s">
        <v>357</v>
      </c>
      <c r="F35" s="4"/>
    </row>
    <row r="36" spans="1:7" x14ac:dyDescent="0.2">
      <c r="A36" t="s">
        <v>344</v>
      </c>
      <c r="B36" t="s">
        <v>1</v>
      </c>
      <c r="C36" t="s">
        <v>2</v>
      </c>
      <c r="D36" t="s">
        <v>2</v>
      </c>
      <c r="E36" t="s">
        <v>31</v>
      </c>
      <c r="F36" s="4" t="s">
        <v>597</v>
      </c>
    </row>
    <row r="37" spans="1:7" x14ac:dyDescent="0.2">
      <c r="F37" s="4"/>
    </row>
    <row r="38" spans="1:7" x14ac:dyDescent="0.2">
      <c r="A38" s="1" t="s">
        <v>358</v>
      </c>
      <c r="F38" s="4"/>
    </row>
    <row r="39" spans="1:7" s="1" customFormat="1" x14ac:dyDescent="0.2">
      <c r="A39" t="s">
        <v>345</v>
      </c>
      <c r="B39" t="s">
        <v>1</v>
      </c>
      <c r="C39" t="s">
        <v>2</v>
      </c>
      <c r="D39" t="s">
        <v>1</v>
      </c>
      <c r="E39" t="s">
        <v>31</v>
      </c>
      <c r="F39" s="4" t="s">
        <v>97</v>
      </c>
      <c r="G39"/>
    </row>
    <row r="40" spans="1:7" s="1" customFormat="1" x14ac:dyDescent="0.2">
      <c r="A40"/>
      <c r="B40"/>
      <c r="C40"/>
      <c r="D40"/>
      <c r="E40"/>
      <c r="F40" s="4"/>
      <c r="G40"/>
    </row>
    <row r="41" spans="1:7" s="1" customFormat="1" x14ac:dyDescent="0.2">
      <c r="A41" s="1" t="s">
        <v>600</v>
      </c>
      <c r="B41"/>
      <c r="C41"/>
      <c r="D41"/>
      <c r="E41"/>
      <c r="F41" s="4"/>
      <c r="G41"/>
    </row>
    <row r="42" spans="1:7" s="1" customFormat="1" x14ac:dyDescent="0.2">
      <c r="A42" t="s">
        <v>601</v>
      </c>
      <c r="B42" t="s">
        <v>1</v>
      </c>
      <c r="C42" t="s">
        <v>2</v>
      </c>
      <c r="D42" t="s">
        <v>2</v>
      </c>
      <c r="E42" t="s">
        <v>2</v>
      </c>
      <c r="F42" s="4" t="s">
        <v>558</v>
      </c>
      <c r="G42"/>
    </row>
    <row r="43" spans="1:7" x14ac:dyDescent="0.2">
      <c r="F43" s="4"/>
    </row>
    <row r="44" spans="1:7" x14ac:dyDescent="0.2">
      <c r="A44" s="1" t="s">
        <v>359</v>
      </c>
      <c r="F44" s="4"/>
    </row>
    <row r="45" spans="1:7" x14ac:dyDescent="0.2">
      <c r="A45" t="s">
        <v>584</v>
      </c>
      <c r="B45" t="s">
        <v>1</v>
      </c>
      <c r="C45" t="s">
        <v>2</v>
      </c>
      <c r="D45" t="s">
        <v>2</v>
      </c>
      <c r="E45" t="s">
        <v>31</v>
      </c>
      <c r="F45" s="4" t="s">
        <v>558</v>
      </c>
    </row>
    <row r="46" spans="1:7" x14ac:dyDescent="0.2">
      <c r="A46" t="s">
        <v>346</v>
      </c>
      <c r="B46" t="s">
        <v>1</v>
      </c>
      <c r="C46" t="s">
        <v>1</v>
      </c>
      <c r="D46" t="s">
        <v>2</v>
      </c>
      <c r="E46" t="s">
        <v>101</v>
      </c>
      <c r="F46" s="4" t="s">
        <v>102</v>
      </c>
    </row>
    <row r="47" spans="1:7" x14ac:dyDescent="0.2">
      <c r="A47" t="s">
        <v>347</v>
      </c>
      <c r="B47" t="s">
        <v>2</v>
      </c>
      <c r="C47" t="s">
        <v>2</v>
      </c>
      <c r="D47" t="s">
        <v>1</v>
      </c>
      <c r="E47" t="s">
        <v>31</v>
      </c>
      <c r="F47" s="4" t="s">
        <v>105</v>
      </c>
    </row>
    <row r="48" spans="1:7" x14ac:dyDescent="0.2">
      <c r="A48" t="s">
        <v>348</v>
      </c>
      <c r="B48" t="s">
        <v>1</v>
      </c>
      <c r="C48" t="s">
        <v>2</v>
      </c>
      <c r="D48" t="s">
        <v>1</v>
      </c>
      <c r="E48" t="s">
        <v>31</v>
      </c>
      <c r="F48" s="4" t="s">
        <v>104</v>
      </c>
    </row>
    <row r="49" spans="1:6" x14ac:dyDescent="0.2">
      <c r="F49" s="4"/>
    </row>
    <row r="50" spans="1:6" x14ac:dyDescent="0.2">
      <c r="A50" s="1" t="s">
        <v>362</v>
      </c>
      <c r="F50" s="4"/>
    </row>
    <row r="51" spans="1:6" x14ac:dyDescent="0.2">
      <c r="A51" t="s">
        <v>349</v>
      </c>
      <c r="B51" t="s">
        <v>1</v>
      </c>
      <c r="C51" t="s">
        <v>2</v>
      </c>
      <c r="D51" t="s">
        <v>1</v>
      </c>
      <c r="E51" t="s">
        <v>31</v>
      </c>
      <c r="F51" s="4" t="s">
        <v>69</v>
      </c>
    </row>
    <row r="52" spans="1:6" x14ac:dyDescent="0.2">
      <c r="F52" s="4"/>
    </row>
    <row r="53" spans="1:6" x14ac:dyDescent="0.2">
      <c r="A53" s="1" t="s">
        <v>666</v>
      </c>
      <c r="F53" s="4"/>
    </row>
    <row r="54" spans="1:6" x14ac:dyDescent="0.2">
      <c r="A54" t="s">
        <v>667</v>
      </c>
      <c r="B54" t="s">
        <v>1</v>
      </c>
      <c r="C54" t="s">
        <v>2</v>
      </c>
      <c r="D54" t="s">
        <v>1</v>
      </c>
      <c r="E54" t="s">
        <v>31</v>
      </c>
      <c r="F54" s="4" t="s">
        <v>668</v>
      </c>
    </row>
    <row r="55" spans="1:6" x14ac:dyDescent="0.2">
      <c r="F55" s="4"/>
    </row>
    <row r="56" spans="1:6" x14ac:dyDescent="0.2">
      <c r="A56" s="1" t="s">
        <v>360</v>
      </c>
      <c r="F56" s="5"/>
    </row>
    <row r="57" spans="1:6" x14ac:dyDescent="0.2">
      <c r="A57" t="s">
        <v>350</v>
      </c>
      <c r="B57" t="s">
        <v>1</v>
      </c>
      <c r="C57" t="s">
        <v>1</v>
      </c>
      <c r="D57" t="s">
        <v>2</v>
      </c>
      <c r="E57" t="s">
        <v>39</v>
      </c>
      <c r="F57" s="5" t="s">
        <v>127</v>
      </c>
    </row>
    <row r="58" spans="1:6" x14ac:dyDescent="0.2">
      <c r="F58" s="5"/>
    </row>
    <row r="59" spans="1:6" x14ac:dyDescent="0.2">
      <c r="A59" s="1" t="s">
        <v>588</v>
      </c>
      <c r="F59" s="5"/>
    </row>
    <row r="60" spans="1:6" x14ac:dyDescent="0.2">
      <c r="A60" t="s">
        <v>589</v>
      </c>
      <c r="B60" t="s">
        <v>2</v>
      </c>
      <c r="C60" t="s">
        <v>2</v>
      </c>
      <c r="D60" t="s">
        <v>2</v>
      </c>
      <c r="E60" t="s">
        <v>31</v>
      </c>
      <c r="F60" s="4" t="s">
        <v>558</v>
      </c>
    </row>
    <row r="61" spans="1:6" x14ac:dyDescent="0.2">
      <c r="A61" t="s">
        <v>590</v>
      </c>
      <c r="B61" t="s">
        <v>2</v>
      </c>
      <c r="C61" t="s">
        <v>2</v>
      </c>
      <c r="D61" t="s">
        <v>2</v>
      </c>
      <c r="E61" t="s">
        <v>31</v>
      </c>
      <c r="F61" s="4" t="s">
        <v>571</v>
      </c>
    </row>
    <row r="62" spans="1:6" x14ac:dyDescent="0.2">
      <c r="A62" t="s">
        <v>591</v>
      </c>
      <c r="B62" t="s">
        <v>2</v>
      </c>
      <c r="C62" t="s">
        <v>2</v>
      </c>
      <c r="D62" t="s">
        <v>2</v>
      </c>
      <c r="E62" t="s">
        <v>31</v>
      </c>
      <c r="F62" s="4" t="s">
        <v>572</v>
      </c>
    </row>
    <row r="63" spans="1:6" x14ac:dyDescent="0.2">
      <c r="F63" s="4"/>
    </row>
    <row r="64" spans="1:6" x14ac:dyDescent="0.2">
      <c r="A64" s="1" t="s">
        <v>771</v>
      </c>
      <c r="F64" s="4"/>
    </row>
    <row r="65" spans="1:6" x14ac:dyDescent="0.2">
      <c r="A65" t="s">
        <v>772</v>
      </c>
      <c r="B65" t="s">
        <v>1</v>
      </c>
      <c r="C65" t="s">
        <v>1</v>
      </c>
      <c r="D65" t="s">
        <v>2</v>
      </c>
      <c r="E65" t="s">
        <v>29</v>
      </c>
      <c r="F65" s="4" t="s">
        <v>773</v>
      </c>
    </row>
    <row r="66" spans="1:6" x14ac:dyDescent="0.2">
      <c r="F66" s="4"/>
    </row>
    <row r="67" spans="1:6" x14ac:dyDescent="0.2">
      <c r="A67" s="1" t="s">
        <v>592</v>
      </c>
      <c r="F67" s="4"/>
    </row>
    <row r="68" spans="1:6" x14ac:dyDescent="0.2">
      <c r="A68" t="s">
        <v>593</v>
      </c>
      <c r="B68" t="s">
        <v>2</v>
      </c>
      <c r="C68" t="s">
        <v>2</v>
      </c>
      <c r="D68" t="s">
        <v>2</v>
      </c>
      <c r="E68" t="s">
        <v>31</v>
      </c>
      <c r="F68" s="4" t="s">
        <v>572</v>
      </c>
    </row>
    <row r="69" spans="1:6" x14ac:dyDescent="0.2">
      <c r="F69" s="4"/>
    </row>
    <row r="70" spans="1:6" x14ac:dyDescent="0.2">
      <c r="A70" s="1" t="s">
        <v>602</v>
      </c>
      <c r="F70" s="4"/>
    </row>
    <row r="71" spans="1:6" x14ac:dyDescent="0.2">
      <c r="A71" t="s">
        <v>603</v>
      </c>
      <c r="B71" t="s">
        <v>1</v>
      </c>
      <c r="C71" t="s">
        <v>2</v>
      </c>
      <c r="D71" t="s">
        <v>2</v>
      </c>
      <c r="E71" t="s">
        <v>31</v>
      </c>
      <c r="F71" s="4" t="s">
        <v>572</v>
      </c>
    </row>
    <row r="72" spans="1:6" x14ac:dyDescent="0.2">
      <c r="F72" s="4"/>
    </row>
    <row r="73" spans="1:6" x14ac:dyDescent="0.2">
      <c r="A73" s="1" t="s">
        <v>361</v>
      </c>
      <c r="F73" s="4"/>
    </row>
    <row r="74" spans="1:6" x14ac:dyDescent="0.2">
      <c r="A74" t="s">
        <v>351</v>
      </c>
      <c r="B74" t="s">
        <v>1</v>
      </c>
      <c r="C74" t="s">
        <v>1</v>
      </c>
      <c r="D74" t="s">
        <v>1</v>
      </c>
      <c r="E74" t="s">
        <v>39</v>
      </c>
      <c r="F74" s="4" t="s">
        <v>126</v>
      </c>
    </row>
    <row r="75" spans="1:6" x14ac:dyDescent="0.2">
      <c r="A75" t="s">
        <v>352</v>
      </c>
      <c r="B75" t="s">
        <v>1</v>
      </c>
      <c r="C75" t="s">
        <v>2</v>
      </c>
      <c r="D75" t="s">
        <v>1</v>
      </c>
      <c r="E75" t="s">
        <v>31</v>
      </c>
      <c r="F75" s="4" t="s">
        <v>43</v>
      </c>
    </row>
    <row r="77" spans="1:6" x14ac:dyDescent="0.2">
      <c r="A77" s="11" t="s">
        <v>545</v>
      </c>
      <c r="B77" s="19" t="s">
        <v>546</v>
      </c>
      <c r="C77" s="23" t="s">
        <v>552</v>
      </c>
      <c r="D77" s="33" t="s">
        <v>550</v>
      </c>
    </row>
    <row r="78" spans="1:6" x14ac:dyDescent="0.2">
      <c r="A78" s="12">
        <f>COUNTIF(A4:A75,"*^*")</f>
        <v>31</v>
      </c>
      <c r="B78" s="20">
        <f>COUNTIF(B4:B75,"*Yes*")</f>
        <v>23</v>
      </c>
      <c r="C78" s="24">
        <f>COUNTIF(C4:C75,"*Yes*")</f>
        <v>8</v>
      </c>
      <c r="D78" s="26">
        <f>COUNTIF(D4:D75,"*Yes*")</f>
        <v>9</v>
      </c>
    </row>
    <row r="79" spans="1:6" x14ac:dyDescent="0.2">
      <c r="A79" s="13" t="s">
        <v>544</v>
      </c>
      <c r="B79" s="21" t="s">
        <v>551</v>
      </c>
      <c r="C79" s="15" t="s">
        <v>553</v>
      </c>
    </row>
    <row r="80" spans="1:6" x14ac:dyDescent="0.2">
      <c r="A80" s="14">
        <f>COUNTIF(A4:A75,"*$*")</f>
        <v>21</v>
      </c>
      <c r="B80" s="22">
        <f>COUNTIF(B4:B75,"*No*")</f>
        <v>8</v>
      </c>
      <c r="C80" s="16">
        <f>COUNTIF(C4:C75,"*No*")</f>
        <v>23</v>
      </c>
    </row>
  </sheetData>
  <mergeCells count="1">
    <mergeCell ref="A1:C2"/>
  </mergeCells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35721-18DA-E942-A308-6150EC8C8E53}">
  <dimension ref="A1:G115"/>
  <sheetViews>
    <sheetView topLeftCell="A35" zoomScale="112" workbookViewId="0">
      <selection activeCell="F45" sqref="F45"/>
    </sheetView>
  </sheetViews>
  <sheetFormatPr baseColWidth="10" defaultRowHeight="16" x14ac:dyDescent="0.2"/>
  <cols>
    <col min="1" max="2" width="33.6640625" customWidth="1"/>
    <col min="3" max="3" width="24.5" customWidth="1"/>
    <col min="4" max="4" width="22" customWidth="1"/>
    <col min="5" max="5" width="19.5" customWidth="1"/>
    <col min="6" max="6" width="20.33203125" style="4" customWidth="1"/>
  </cols>
  <sheetData>
    <row r="1" spans="1:7" x14ac:dyDescent="0.2">
      <c r="A1" s="37" t="s">
        <v>7</v>
      </c>
      <c r="B1" s="37"/>
      <c r="C1" s="37"/>
      <c r="D1" s="29" t="s">
        <v>141</v>
      </c>
      <c r="E1" s="30" t="s">
        <v>698</v>
      </c>
      <c r="F1" s="31" t="s">
        <v>142</v>
      </c>
      <c r="G1" s="32" t="s">
        <v>699</v>
      </c>
    </row>
    <row r="2" spans="1:7" x14ac:dyDescent="0.2">
      <c r="A2" s="37"/>
      <c r="B2" s="37"/>
      <c r="C2" s="37"/>
    </row>
    <row r="3" spans="1:7" x14ac:dyDescent="0.2">
      <c r="B3" s="1" t="s">
        <v>540</v>
      </c>
      <c r="C3" s="1" t="s">
        <v>539</v>
      </c>
      <c r="D3" s="1" t="s">
        <v>24</v>
      </c>
      <c r="E3" s="1" t="s">
        <v>26</v>
      </c>
      <c r="F3" s="1" t="s">
        <v>27</v>
      </c>
      <c r="G3" s="1"/>
    </row>
    <row r="4" spans="1:7" x14ac:dyDescent="0.2">
      <c r="A4" s="1" t="s">
        <v>400</v>
      </c>
    </row>
    <row r="5" spans="1:7" x14ac:dyDescent="0.2">
      <c r="A5" t="s">
        <v>363</v>
      </c>
      <c r="B5" t="s">
        <v>1</v>
      </c>
      <c r="C5" t="s">
        <v>2</v>
      </c>
      <c r="D5" t="s">
        <v>2</v>
      </c>
      <c r="E5" s="4" t="s">
        <v>60</v>
      </c>
      <c r="F5" s="4" t="s">
        <v>61</v>
      </c>
    </row>
    <row r="6" spans="1:7" s="1" customFormat="1" x14ac:dyDescent="0.2">
      <c r="A6" t="s">
        <v>364</v>
      </c>
      <c r="B6" t="s">
        <v>1</v>
      </c>
      <c r="C6" t="s">
        <v>1</v>
      </c>
      <c r="D6" t="s">
        <v>2</v>
      </c>
      <c r="E6" t="s">
        <v>29</v>
      </c>
      <c r="F6" s="4" t="s">
        <v>62</v>
      </c>
      <c r="G6"/>
    </row>
    <row r="7" spans="1:7" s="1" customFormat="1" x14ac:dyDescent="0.2">
      <c r="A7" t="s">
        <v>365</v>
      </c>
      <c r="B7" t="s">
        <v>2</v>
      </c>
      <c r="C7" t="s">
        <v>2</v>
      </c>
      <c r="D7" t="s">
        <v>2</v>
      </c>
      <c r="E7" t="s">
        <v>135</v>
      </c>
      <c r="F7" s="4" t="s">
        <v>138</v>
      </c>
      <c r="G7"/>
    </row>
    <row r="9" spans="1:7" x14ac:dyDescent="0.2">
      <c r="A9" s="1" t="s">
        <v>401</v>
      </c>
    </row>
    <row r="10" spans="1:7" x14ac:dyDescent="0.2">
      <c r="A10" t="s">
        <v>366</v>
      </c>
      <c r="B10" t="s">
        <v>2</v>
      </c>
      <c r="C10" t="s">
        <v>2</v>
      </c>
      <c r="D10" t="s">
        <v>2</v>
      </c>
      <c r="E10" t="s">
        <v>31</v>
      </c>
      <c r="F10" s="4" t="s">
        <v>140</v>
      </c>
    </row>
    <row r="12" spans="1:7" x14ac:dyDescent="0.2">
      <c r="A12" s="1" t="s">
        <v>606</v>
      </c>
    </row>
    <row r="13" spans="1:7" x14ac:dyDescent="0.2">
      <c r="A13" t="s">
        <v>607</v>
      </c>
      <c r="B13" t="s">
        <v>2</v>
      </c>
      <c r="C13" t="s">
        <v>2</v>
      </c>
      <c r="D13" t="s">
        <v>2</v>
      </c>
      <c r="E13" t="s">
        <v>31</v>
      </c>
      <c r="F13" s="4" t="s">
        <v>616</v>
      </c>
    </row>
    <row r="15" spans="1:7" x14ac:dyDescent="0.2">
      <c r="A15" s="1" t="s">
        <v>402</v>
      </c>
    </row>
    <row r="16" spans="1:7" x14ac:dyDescent="0.2">
      <c r="A16" t="s">
        <v>367</v>
      </c>
      <c r="B16" t="s">
        <v>1</v>
      </c>
      <c r="C16" t="s">
        <v>2</v>
      </c>
      <c r="D16" t="s">
        <v>2</v>
      </c>
      <c r="E16" s="4" t="s">
        <v>134</v>
      </c>
      <c r="F16" s="4" t="s">
        <v>136</v>
      </c>
    </row>
    <row r="17" spans="1:7" x14ac:dyDescent="0.2">
      <c r="E17" s="4"/>
    </row>
    <row r="18" spans="1:7" x14ac:dyDescent="0.2">
      <c r="A18" s="1" t="s">
        <v>403</v>
      </c>
      <c r="E18" s="4"/>
    </row>
    <row r="19" spans="1:7" x14ac:dyDescent="0.2">
      <c r="A19" t="s">
        <v>368</v>
      </c>
      <c r="B19" t="s">
        <v>2</v>
      </c>
      <c r="C19" t="s">
        <v>2</v>
      </c>
      <c r="D19" t="s">
        <v>2</v>
      </c>
      <c r="E19" t="s">
        <v>135</v>
      </c>
      <c r="F19" s="4" t="s">
        <v>138</v>
      </c>
    </row>
    <row r="21" spans="1:7" x14ac:dyDescent="0.2">
      <c r="A21" s="1" t="s">
        <v>404</v>
      </c>
    </row>
    <row r="22" spans="1:7" x14ac:dyDescent="0.2">
      <c r="A22" t="s">
        <v>369</v>
      </c>
      <c r="B22" t="s">
        <v>1</v>
      </c>
      <c r="C22" t="s">
        <v>2</v>
      </c>
      <c r="D22" t="s">
        <v>2</v>
      </c>
      <c r="E22" s="4" t="s">
        <v>60</v>
      </c>
      <c r="F22" s="4" t="s">
        <v>61</v>
      </c>
    </row>
    <row r="24" spans="1:7" x14ac:dyDescent="0.2">
      <c r="A24" s="1" t="s">
        <v>405</v>
      </c>
    </row>
    <row r="25" spans="1:7" x14ac:dyDescent="0.2">
      <c r="A25" t="s">
        <v>370</v>
      </c>
      <c r="B25" t="s">
        <v>1</v>
      </c>
      <c r="C25" t="s">
        <v>2</v>
      </c>
      <c r="D25" t="s">
        <v>2</v>
      </c>
      <c r="E25" t="s">
        <v>135</v>
      </c>
      <c r="F25" s="4" t="s">
        <v>138</v>
      </c>
    </row>
    <row r="26" spans="1:7" s="1" customFormat="1" x14ac:dyDescent="0.2">
      <c r="A26" t="s">
        <v>371</v>
      </c>
      <c r="B26" t="s">
        <v>1</v>
      </c>
      <c r="C26" t="s">
        <v>1</v>
      </c>
      <c r="D26" t="s">
        <v>2</v>
      </c>
      <c r="E26" t="s">
        <v>29</v>
      </c>
      <c r="F26" s="4" t="s">
        <v>78</v>
      </c>
      <c r="G26"/>
    </row>
    <row r="27" spans="1:7" s="1" customFormat="1" x14ac:dyDescent="0.2">
      <c r="A27"/>
      <c r="B27"/>
      <c r="C27"/>
      <c r="D27"/>
      <c r="E27"/>
      <c r="F27" s="4"/>
      <c r="G27"/>
    </row>
    <row r="28" spans="1:7" s="1" customFormat="1" x14ac:dyDescent="0.2">
      <c r="A28" s="1" t="s">
        <v>406</v>
      </c>
      <c r="B28"/>
      <c r="C28"/>
      <c r="D28"/>
      <c r="E28"/>
      <c r="F28" s="4"/>
      <c r="G28"/>
    </row>
    <row r="29" spans="1:7" s="1" customFormat="1" x14ac:dyDescent="0.2">
      <c r="A29" t="s">
        <v>372</v>
      </c>
      <c r="B29" t="s">
        <v>2</v>
      </c>
      <c r="C29" t="s">
        <v>2</v>
      </c>
      <c r="D29" t="s">
        <v>2</v>
      </c>
      <c r="E29" t="s">
        <v>137</v>
      </c>
      <c r="F29" s="4" t="s">
        <v>138</v>
      </c>
      <c r="G29"/>
    </row>
    <row r="31" spans="1:7" x14ac:dyDescent="0.2">
      <c r="A31" s="1" t="s">
        <v>407</v>
      </c>
    </row>
    <row r="32" spans="1:7" x14ac:dyDescent="0.2">
      <c r="A32" t="s">
        <v>373</v>
      </c>
      <c r="B32" t="s">
        <v>1</v>
      </c>
      <c r="C32" t="s">
        <v>1</v>
      </c>
      <c r="D32" t="s">
        <v>2</v>
      </c>
      <c r="E32" t="s">
        <v>29</v>
      </c>
      <c r="F32" s="4" t="s">
        <v>78</v>
      </c>
    </row>
    <row r="34" spans="1:6" x14ac:dyDescent="0.2">
      <c r="A34" s="1" t="s">
        <v>408</v>
      </c>
    </row>
    <row r="35" spans="1:6" x14ac:dyDescent="0.2">
      <c r="A35" t="s">
        <v>374</v>
      </c>
      <c r="B35" t="s">
        <v>1</v>
      </c>
      <c r="C35" t="s">
        <v>2</v>
      </c>
      <c r="D35" t="s">
        <v>2</v>
      </c>
      <c r="E35" s="4" t="s">
        <v>137</v>
      </c>
      <c r="F35" s="4" t="s">
        <v>138</v>
      </c>
    </row>
    <row r="36" spans="1:6" x14ac:dyDescent="0.2">
      <c r="E36" s="4"/>
    </row>
    <row r="37" spans="1:6" x14ac:dyDescent="0.2">
      <c r="A37" s="1" t="s">
        <v>612</v>
      </c>
      <c r="E37" s="4"/>
    </row>
    <row r="38" spans="1:6" x14ac:dyDescent="0.2">
      <c r="A38" t="s">
        <v>613</v>
      </c>
      <c r="B38" t="s">
        <v>2</v>
      </c>
      <c r="C38" t="s">
        <v>2</v>
      </c>
      <c r="D38" t="s">
        <v>2</v>
      </c>
      <c r="E38" t="s">
        <v>614</v>
      </c>
      <c r="F38" s="4" t="s">
        <v>616</v>
      </c>
    </row>
    <row r="39" spans="1:6" x14ac:dyDescent="0.2">
      <c r="E39" s="4"/>
    </row>
    <row r="40" spans="1:6" x14ac:dyDescent="0.2">
      <c r="A40" s="1" t="s">
        <v>409</v>
      </c>
      <c r="E40" s="4"/>
    </row>
    <row r="41" spans="1:6" x14ac:dyDescent="0.2">
      <c r="A41" t="s">
        <v>375</v>
      </c>
      <c r="B41" t="s">
        <v>1</v>
      </c>
      <c r="C41" t="s">
        <v>2</v>
      </c>
      <c r="D41" t="s">
        <v>2</v>
      </c>
      <c r="E41" s="4" t="s">
        <v>137</v>
      </c>
      <c r="F41" s="4" t="s">
        <v>138</v>
      </c>
    </row>
    <row r="42" spans="1:6" x14ac:dyDescent="0.2">
      <c r="A42" t="s">
        <v>672</v>
      </c>
      <c r="B42" t="s">
        <v>1</v>
      </c>
      <c r="C42" t="s">
        <v>2</v>
      </c>
      <c r="D42" t="s">
        <v>2</v>
      </c>
      <c r="E42" s="4" t="s">
        <v>673</v>
      </c>
      <c r="F42" s="4" t="s">
        <v>671</v>
      </c>
    </row>
    <row r="44" spans="1:6" x14ac:dyDescent="0.2">
      <c r="A44" t="s">
        <v>727</v>
      </c>
    </row>
    <row r="45" spans="1:6" x14ac:dyDescent="0.2">
      <c r="A45" t="s">
        <v>728</v>
      </c>
      <c r="B45" t="s">
        <v>1</v>
      </c>
      <c r="C45" t="s">
        <v>1</v>
      </c>
      <c r="D45" t="s">
        <v>2</v>
      </c>
      <c r="E45" t="s">
        <v>724</v>
      </c>
      <c r="F45" s="4" t="s">
        <v>725</v>
      </c>
    </row>
    <row r="47" spans="1:6" x14ac:dyDescent="0.2">
      <c r="A47" s="1" t="s">
        <v>410</v>
      </c>
    </row>
    <row r="48" spans="1:6" x14ac:dyDescent="0.2">
      <c r="A48" t="s">
        <v>376</v>
      </c>
      <c r="B48" t="s">
        <v>1</v>
      </c>
      <c r="C48" t="s">
        <v>2</v>
      </c>
      <c r="D48" t="s">
        <v>2</v>
      </c>
      <c r="E48" s="4" t="s">
        <v>60</v>
      </c>
      <c r="F48" s="4" t="s">
        <v>61</v>
      </c>
    </row>
    <row r="49" spans="1:7" x14ac:dyDescent="0.2">
      <c r="A49" t="s">
        <v>377</v>
      </c>
      <c r="B49" t="s">
        <v>1</v>
      </c>
      <c r="C49" t="s">
        <v>2</v>
      </c>
      <c r="D49" t="s">
        <v>2</v>
      </c>
      <c r="E49" s="4" t="s">
        <v>137</v>
      </c>
      <c r="F49" s="4" t="s">
        <v>138</v>
      </c>
    </row>
    <row r="50" spans="1:7" x14ac:dyDescent="0.2">
      <c r="A50" t="s">
        <v>378</v>
      </c>
      <c r="B50" t="s">
        <v>1</v>
      </c>
      <c r="C50" t="s">
        <v>2</v>
      </c>
      <c r="D50" t="s">
        <v>2</v>
      </c>
      <c r="E50" s="4" t="s">
        <v>137</v>
      </c>
      <c r="F50" s="4" t="s">
        <v>138</v>
      </c>
    </row>
    <row r="52" spans="1:7" x14ac:dyDescent="0.2">
      <c r="A52" s="1" t="s">
        <v>411</v>
      </c>
    </row>
    <row r="53" spans="1:7" x14ac:dyDescent="0.2">
      <c r="A53" t="s">
        <v>379</v>
      </c>
      <c r="B53" t="s">
        <v>2</v>
      </c>
      <c r="C53" t="s">
        <v>2</v>
      </c>
      <c r="D53" t="s">
        <v>2</v>
      </c>
      <c r="E53" t="s">
        <v>31</v>
      </c>
      <c r="F53" s="5" t="s">
        <v>78</v>
      </c>
    </row>
    <row r="55" spans="1:7" x14ac:dyDescent="0.2">
      <c r="A55" s="1" t="s">
        <v>412</v>
      </c>
    </row>
    <row r="56" spans="1:7" x14ac:dyDescent="0.2">
      <c r="A56" t="s">
        <v>380</v>
      </c>
      <c r="B56" t="s">
        <v>1</v>
      </c>
      <c r="C56" t="s">
        <v>1</v>
      </c>
      <c r="D56" t="s">
        <v>2</v>
      </c>
      <c r="E56" t="s">
        <v>29</v>
      </c>
      <c r="F56" s="5" t="s">
        <v>78</v>
      </c>
    </row>
    <row r="57" spans="1:7" x14ac:dyDescent="0.2">
      <c r="A57" t="s">
        <v>381</v>
      </c>
      <c r="B57" t="s">
        <v>2</v>
      </c>
      <c r="C57" t="s">
        <v>2</v>
      </c>
      <c r="D57" t="s">
        <v>2</v>
      </c>
      <c r="E57" t="s">
        <v>31</v>
      </c>
      <c r="F57" s="5" t="s">
        <v>78</v>
      </c>
    </row>
    <row r="58" spans="1:7" x14ac:dyDescent="0.2">
      <c r="A58" t="s">
        <v>382</v>
      </c>
      <c r="B58" t="s">
        <v>1</v>
      </c>
      <c r="C58" t="s">
        <v>2</v>
      </c>
      <c r="D58" t="s">
        <v>2</v>
      </c>
      <c r="E58" s="4" t="s">
        <v>60</v>
      </c>
      <c r="F58" s="4" t="s">
        <v>61</v>
      </c>
    </row>
    <row r="59" spans="1:7" x14ac:dyDescent="0.2">
      <c r="A59" t="s">
        <v>383</v>
      </c>
      <c r="B59" t="s">
        <v>2</v>
      </c>
      <c r="C59" t="s">
        <v>2</v>
      </c>
      <c r="D59" t="s">
        <v>2</v>
      </c>
      <c r="E59" t="s">
        <v>31</v>
      </c>
      <c r="F59" s="5" t="s">
        <v>78</v>
      </c>
    </row>
    <row r="60" spans="1:7" x14ac:dyDescent="0.2">
      <c r="A60" t="s">
        <v>615</v>
      </c>
      <c r="B60" t="s">
        <v>2</v>
      </c>
      <c r="C60" t="s">
        <v>2</v>
      </c>
      <c r="D60" t="s">
        <v>2</v>
      </c>
      <c r="E60" t="s">
        <v>31</v>
      </c>
      <c r="F60" s="5" t="s">
        <v>616</v>
      </c>
    </row>
    <row r="61" spans="1:7" x14ac:dyDescent="0.2">
      <c r="A61" t="s">
        <v>384</v>
      </c>
      <c r="B61" t="s">
        <v>2</v>
      </c>
      <c r="C61" t="s">
        <v>2</v>
      </c>
      <c r="D61" t="s">
        <v>2</v>
      </c>
      <c r="E61" s="5" t="s">
        <v>137</v>
      </c>
      <c r="F61" s="5" t="s">
        <v>138</v>
      </c>
      <c r="G61" s="2"/>
    </row>
    <row r="63" spans="1:7" x14ac:dyDescent="0.2">
      <c r="A63" s="1" t="s">
        <v>413</v>
      </c>
    </row>
    <row r="64" spans="1:7" x14ac:dyDescent="0.2">
      <c r="A64" t="s">
        <v>385</v>
      </c>
      <c r="B64" t="s">
        <v>1</v>
      </c>
      <c r="C64" t="s">
        <v>1</v>
      </c>
      <c r="D64" t="s">
        <v>2</v>
      </c>
      <c r="E64" t="s">
        <v>39</v>
      </c>
      <c r="F64" s="5" t="s">
        <v>78</v>
      </c>
    </row>
    <row r="66" spans="1:7" x14ac:dyDescent="0.2">
      <c r="A66" s="1" t="s">
        <v>414</v>
      </c>
    </row>
    <row r="67" spans="1:7" x14ac:dyDescent="0.2">
      <c r="A67" t="s">
        <v>386</v>
      </c>
      <c r="B67" t="s">
        <v>2</v>
      </c>
      <c r="C67" t="s">
        <v>2</v>
      </c>
      <c r="D67" t="s">
        <v>2</v>
      </c>
      <c r="E67" t="s">
        <v>31</v>
      </c>
      <c r="F67" s="5" t="s">
        <v>78</v>
      </c>
    </row>
    <row r="68" spans="1:7" x14ac:dyDescent="0.2">
      <c r="A68" t="s">
        <v>387</v>
      </c>
      <c r="B68" t="s">
        <v>1</v>
      </c>
      <c r="C68" t="s">
        <v>1</v>
      </c>
      <c r="D68" t="s">
        <v>2</v>
      </c>
      <c r="E68" t="s">
        <v>29</v>
      </c>
      <c r="F68" s="5" t="s">
        <v>78</v>
      </c>
    </row>
    <row r="70" spans="1:7" x14ac:dyDescent="0.2">
      <c r="A70" s="1" t="s">
        <v>415</v>
      </c>
    </row>
    <row r="71" spans="1:7" x14ac:dyDescent="0.2">
      <c r="A71" t="s">
        <v>388</v>
      </c>
      <c r="B71" t="s">
        <v>1</v>
      </c>
      <c r="C71" t="s">
        <v>2</v>
      </c>
      <c r="D71" t="s">
        <v>2</v>
      </c>
      <c r="E71" s="4" t="s">
        <v>60</v>
      </c>
      <c r="F71" s="4" t="s">
        <v>61</v>
      </c>
    </row>
    <row r="72" spans="1:7" x14ac:dyDescent="0.2">
      <c r="A72" t="s">
        <v>389</v>
      </c>
      <c r="B72" t="s">
        <v>1</v>
      </c>
      <c r="C72" t="s">
        <v>2</v>
      </c>
      <c r="D72" t="s">
        <v>2</v>
      </c>
      <c r="E72" s="5" t="s">
        <v>137</v>
      </c>
      <c r="F72" s="5" t="s">
        <v>138</v>
      </c>
      <c r="G72" s="2"/>
    </row>
    <row r="74" spans="1:7" x14ac:dyDescent="0.2">
      <c r="A74" s="1" t="s">
        <v>416</v>
      </c>
    </row>
    <row r="75" spans="1:7" x14ac:dyDescent="0.2">
      <c r="A75" t="s">
        <v>390</v>
      </c>
      <c r="B75" t="s">
        <v>1</v>
      </c>
      <c r="C75" t="s">
        <v>1</v>
      </c>
      <c r="D75" t="s">
        <v>2</v>
      </c>
      <c r="E75" t="s">
        <v>29</v>
      </c>
      <c r="F75" s="5" t="s">
        <v>78</v>
      </c>
    </row>
    <row r="77" spans="1:7" x14ac:dyDescent="0.2">
      <c r="A77" s="1" t="s">
        <v>417</v>
      </c>
    </row>
    <row r="78" spans="1:7" x14ac:dyDescent="0.2">
      <c r="A78" t="s">
        <v>391</v>
      </c>
      <c r="B78" t="s">
        <v>1</v>
      </c>
      <c r="C78" t="s">
        <v>1</v>
      </c>
      <c r="D78" t="s">
        <v>2</v>
      </c>
      <c r="E78" t="s">
        <v>29</v>
      </c>
      <c r="F78" s="5" t="s">
        <v>78</v>
      </c>
    </row>
    <row r="79" spans="1:7" x14ac:dyDescent="0.2">
      <c r="A79" t="s">
        <v>392</v>
      </c>
      <c r="B79" t="s">
        <v>1</v>
      </c>
      <c r="C79" t="s">
        <v>1</v>
      </c>
      <c r="D79" t="s">
        <v>2</v>
      </c>
      <c r="E79" t="s">
        <v>84</v>
      </c>
      <c r="F79" s="5" t="s">
        <v>78</v>
      </c>
    </row>
    <row r="80" spans="1:7" x14ac:dyDescent="0.2">
      <c r="F80" s="5"/>
    </row>
    <row r="81" spans="1:6" x14ac:dyDescent="0.2">
      <c r="A81" s="1" t="s">
        <v>418</v>
      </c>
      <c r="F81" s="5"/>
    </row>
    <row r="82" spans="1:6" x14ac:dyDescent="0.2">
      <c r="A82" t="s">
        <v>393</v>
      </c>
      <c r="B82" t="s">
        <v>1</v>
      </c>
      <c r="C82" t="s">
        <v>2</v>
      </c>
      <c r="D82" t="s">
        <v>2</v>
      </c>
      <c r="E82" s="4" t="s">
        <v>137</v>
      </c>
      <c r="F82" s="5" t="s">
        <v>139</v>
      </c>
    </row>
    <row r="84" spans="1:6" x14ac:dyDescent="0.2">
      <c r="A84" s="1" t="s">
        <v>419</v>
      </c>
    </row>
    <row r="85" spans="1:6" x14ac:dyDescent="0.2">
      <c r="A85" t="s">
        <v>394</v>
      </c>
      <c r="B85" t="s">
        <v>1</v>
      </c>
      <c r="C85" t="s">
        <v>1</v>
      </c>
      <c r="D85" t="s">
        <v>2</v>
      </c>
      <c r="E85" t="s">
        <v>84</v>
      </c>
      <c r="F85" s="5" t="s">
        <v>78</v>
      </c>
    </row>
    <row r="86" spans="1:6" x14ac:dyDescent="0.2">
      <c r="A86" t="s">
        <v>395</v>
      </c>
      <c r="B86" t="s">
        <v>2</v>
      </c>
      <c r="C86" t="s">
        <v>2</v>
      </c>
      <c r="D86" t="s">
        <v>2</v>
      </c>
      <c r="E86" t="s">
        <v>31</v>
      </c>
      <c r="F86" s="5" t="s">
        <v>78</v>
      </c>
    </row>
    <row r="88" spans="1:6" x14ac:dyDescent="0.2">
      <c r="A88" s="1" t="s">
        <v>420</v>
      </c>
    </row>
    <row r="89" spans="1:6" x14ac:dyDescent="0.2">
      <c r="A89" t="s">
        <v>604</v>
      </c>
      <c r="B89" t="s">
        <v>2</v>
      </c>
      <c r="C89" t="s">
        <v>2</v>
      </c>
      <c r="D89" t="s">
        <v>2</v>
      </c>
      <c r="E89" t="s">
        <v>31</v>
      </c>
      <c r="F89" s="4" t="s">
        <v>616</v>
      </c>
    </row>
    <row r="90" spans="1:6" x14ac:dyDescent="0.2">
      <c r="A90" t="s">
        <v>396</v>
      </c>
      <c r="B90" t="s">
        <v>2</v>
      </c>
      <c r="C90" t="s">
        <v>2</v>
      </c>
      <c r="D90" t="s">
        <v>2</v>
      </c>
      <c r="E90" t="s">
        <v>31</v>
      </c>
      <c r="F90" s="5" t="s">
        <v>78</v>
      </c>
    </row>
    <row r="91" spans="1:6" x14ac:dyDescent="0.2">
      <c r="A91" t="s">
        <v>605</v>
      </c>
      <c r="B91" t="s">
        <v>2</v>
      </c>
      <c r="C91" t="s">
        <v>2</v>
      </c>
      <c r="D91" t="s">
        <v>2</v>
      </c>
      <c r="E91" t="s">
        <v>31</v>
      </c>
      <c r="F91" s="4" t="s">
        <v>616</v>
      </c>
    </row>
    <row r="93" spans="1:6" x14ac:dyDescent="0.2">
      <c r="A93" s="1" t="s">
        <v>608</v>
      </c>
    </row>
    <row r="94" spans="1:6" x14ac:dyDescent="0.2">
      <c r="A94" t="s">
        <v>609</v>
      </c>
      <c r="B94" t="s">
        <v>2</v>
      </c>
      <c r="C94" t="s">
        <v>2</v>
      </c>
      <c r="D94" t="s">
        <v>2</v>
      </c>
      <c r="E94" t="s">
        <v>31</v>
      </c>
      <c r="F94" s="4" t="s">
        <v>616</v>
      </c>
    </row>
    <row r="96" spans="1:6" x14ac:dyDescent="0.2">
      <c r="A96" t="s">
        <v>669</v>
      </c>
    </row>
    <row r="97" spans="1:6" x14ac:dyDescent="0.2">
      <c r="A97" t="s">
        <v>670</v>
      </c>
      <c r="B97" t="s">
        <v>1</v>
      </c>
      <c r="C97" t="s">
        <v>2</v>
      </c>
      <c r="D97" t="s">
        <v>2</v>
      </c>
      <c r="E97" s="4" t="s">
        <v>673</v>
      </c>
      <c r="F97" s="4" t="s">
        <v>671</v>
      </c>
    </row>
    <row r="99" spans="1:6" x14ac:dyDescent="0.2">
      <c r="A99" s="1" t="s">
        <v>421</v>
      </c>
    </row>
    <row r="100" spans="1:6" x14ac:dyDescent="0.2">
      <c r="A100" t="s">
        <v>397</v>
      </c>
      <c r="B100" t="s">
        <v>1</v>
      </c>
      <c r="C100" t="s">
        <v>1</v>
      </c>
      <c r="D100" t="s">
        <v>2</v>
      </c>
      <c r="E100" t="s">
        <v>29</v>
      </c>
      <c r="F100" s="5" t="s">
        <v>78</v>
      </c>
    </row>
    <row r="102" spans="1:6" x14ac:dyDescent="0.2">
      <c r="A102" s="1" t="s">
        <v>422</v>
      </c>
    </row>
    <row r="103" spans="1:6" x14ac:dyDescent="0.2">
      <c r="A103" t="s">
        <v>398</v>
      </c>
      <c r="B103" t="s">
        <v>1</v>
      </c>
      <c r="C103" t="s">
        <v>2</v>
      </c>
      <c r="D103" t="s">
        <v>2</v>
      </c>
      <c r="E103" s="4" t="s">
        <v>60</v>
      </c>
      <c r="F103" s="4" t="s">
        <v>61</v>
      </c>
    </row>
    <row r="105" spans="1:6" x14ac:dyDescent="0.2">
      <c r="A105" s="1" t="s">
        <v>423</v>
      </c>
    </row>
    <row r="106" spans="1:6" x14ac:dyDescent="0.2">
      <c r="A106" t="s">
        <v>399</v>
      </c>
      <c r="B106" t="s">
        <v>1</v>
      </c>
      <c r="C106" t="s">
        <v>1</v>
      </c>
      <c r="D106" t="s">
        <v>2</v>
      </c>
      <c r="E106" t="s">
        <v>29</v>
      </c>
      <c r="F106" s="5" t="s">
        <v>78</v>
      </c>
    </row>
    <row r="107" spans="1:6" x14ac:dyDescent="0.2">
      <c r="F107" s="5"/>
    </row>
    <row r="108" spans="1:6" ht="17" customHeight="1" x14ac:dyDescent="0.2">
      <c r="A108" s="1" t="s">
        <v>610</v>
      </c>
      <c r="F108" s="5"/>
    </row>
    <row r="109" spans="1:6" x14ac:dyDescent="0.2">
      <c r="A109" t="s">
        <v>617</v>
      </c>
      <c r="B109" t="s">
        <v>1</v>
      </c>
      <c r="C109" t="s">
        <v>1</v>
      </c>
      <c r="D109" t="s">
        <v>2</v>
      </c>
      <c r="E109" t="s">
        <v>84</v>
      </c>
      <c r="F109" s="4" t="s">
        <v>616</v>
      </c>
    </row>
    <row r="110" spans="1:6" x14ac:dyDescent="0.2">
      <c r="A110" t="s">
        <v>611</v>
      </c>
      <c r="B110" t="s">
        <v>2</v>
      </c>
      <c r="C110" t="s">
        <v>2</v>
      </c>
      <c r="D110" t="s">
        <v>2</v>
      </c>
      <c r="E110" t="s">
        <v>31</v>
      </c>
      <c r="F110" s="4" t="s">
        <v>616</v>
      </c>
    </row>
    <row r="112" spans="1:6" x14ac:dyDescent="0.2">
      <c r="A112" s="11" t="s">
        <v>537</v>
      </c>
      <c r="B112" s="19" t="s">
        <v>546</v>
      </c>
      <c r="C112" s="23" t="s">
        <v>552</v>
      </c>
      <c r="D112" s="33" t="s">
        <v>550</v>
      </c>
    </row>
    <row r="113" spans="1:4" x14ac:dyDescent="0.2">
      <c r="A113" s="12">
        <f>COUNTIF(A4:A110, "*^*")</f>
        <v>48</v>
      </c>
      <c r="B113" s="20">
        <f>COUNTIF(B4:B110,"*Yes*")</f>
        <v>30</v>
      </c>
      <c r="C113" s="24">
        <f>COUNTIF(C4:C110,"*Yes*")</f>
        <v>14</v>
      </c>
      <c r="D113" s="26">
        <f>COUNTIF(D4:D110,"*Yes*")</f>
        <v>0</v>
      </c>
    </row>
    <row r="114" spans="1:4" x14ac:dyDescent="0.2">
      <c r="A114" s="13" t="s">
        <v>538</v>
      </c>
      <c r="B114" s="21" t="s">
        <v>551</v>
      </c>
      <c r="C114" s="15" t="s">
        <v>553</v>
      </c>
    </row>
    <row r="115" spans="1:4" x14ac:dyDescent="0.2">
      <c r="A115" s="14">
        <f>COUNTIF(A4:A110, "*$*")</f>
        <v>30</v>
      </c>
      <c r="B115" s="22">
        <f>COUNTIF(B4:B110,"*No*")</f>
        <v>18</v>
      </c>
      <c r="C115" s="16">
        <f>COUNTIF(C4:C110,"*No*")</f>
        <v>34</v>
      </c>
    </row>
  </sheetData>
  <mergeCells count="1">
    <mergeCell ref="A1:C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A6C84-4DC8-544A-9213-C77F38DCF4AC}">
  <dimension ref="A1:G10"/>
  <sheetViews>
    <sheetView workbookViewId="0">
      <selection activeCell="A7" sqref="A7:D10"/>
    </sheetView>
  </sheetViews>
  <sheetFormatPr baseColWidth="10" defaultRowHeight="16" x14ac:dyDescent="0.2"/>
  <cols>
    <col min="1" max="1" width="28.6640625" customWidth="1"/>
    <col min="2" max="2" width="30.33203125" customWidth="1"/>
    <col min="3" max="3" width="24.5" customWidth="1"/>
    <col min="4" max="4" width="23.33203125" customWidth="1"/>
    <col min="5" max="5" width="19.33203125" customWidth="1"/>
    <col min="6" max="6" width="18.5" customWidth="1"/>
    <col min="7" max="7" width="16.1640625" customWidth="1"/>
  </cols>
  <sheetData>
    <row r="1" spans="1:7" x14ac:dyDescent="0.2">
      <c r="A1" s="37" t="s">
        <v>13</v>
      </c>
      <c r="B1" s="37"/>
      <c r="C1" s="37"/>
      <c r="D1" s="29" t="s">
        <v>141</v>
      </c>
      <c r="E1" s="30" t="s">
        <v>528</v>
      </c>
      <c r="F1" s="31" t="s">
        <v>142</v>
      </c>
      <c r="G1" s="32" t="s">
        <v>529</v>
      </c>
    </row>
    <row r="2" spans="1:7" x14ac:dyDescent="0.2">
      <c r="A2" s="37"/>
      <c r="B2" s="37"/>
      <c r="C2" s="37"/>
    </row>
    <row r="3" spans="1:7" x14ac:dyDescent="0.2">
      <c r="B3" s="1" t="s">
        <v>540</v>
      </c>
      <c r="C3" s="1" t="s">
        <v>539</v>
      </c>
      <c r="D3" s="1" t="s">
        <v>24</v>
      </c>
      <c r="E3" s="1" t="s">
        <v>26</v>
      </c>
      <c r="F3" s="1" t="s">
        <v>27</v>
      </c>
      <c r="G3" s="1"/>
    </row>
    <row r="4" spans="1:7" x14ac:dyDescent="0.2">
      <c r="A4" s="1" t="s">
        <v>424</v>
      </c>
    </row>
    <row r="5" spans="1:7" x14ac:dyDescent="0.2">
      <c r="A5" t="s">
        <v>425</v>
      </c>
      <c r="B5" t="s">
        <v>1</v>
      </c>
      <c r="C5" t="s">
        <v>2</v>
      </c>
      <c r="D5" t="s">
        <v>1</v>
      </c>
      <c r="E5" t="s">
        <v>31</v>
      </c>
      <c r="F5" s="4" t="s">
        <v>43</v>
      </c>
    </row>
    <row r="7" spans="1:7" x14ac:dyDescent="0.2">
      <c r="A7" s="11" t="s">
        <v>544</v>
      </c>
      <c r="B7" s="19" t="s">
        <v>546</v>
      </c>
      <c r="C7" s="23" t="s">
        <v>548</v>
      </c>
      <c r="D7" s="25" t="s">
        <v>550</v>
      </c>
    </row>
    <row r="8" spans="1:7" x14ac:dyDescent="0.2">
      <c r="A8" s="12">
        <f>COUNTIF(A4:A5,"*$*")</f>
        <v>1</v>
      </c>
      <c r="B8" s="20">
        <f>COUNTIF(B4:B5,"*Yes*")</f>
        <v>1</v>
      </c>
      <c r="C8" s="24">
        <f>COUNTIF(C4:C5,"*Yes*")</f>
        <v>0</v>
      </c>
      <c r="D8" s="26">
        <f>COUNTIF(D4:D5,"*Yes*")</f>
        <v>1</v>
      </c>
    </row>
    <row r="9" spans="1:7" x14ac:dyDescent="0.2">
      <c r="A9" s="13" t="s">
        <v>545</v>
      </c>
      <c r="B9" s="21" t="s">
        <v>547</v>
      </c>
      <c r="C9" s="15" t="s">
        <v>549</v>
      </c>
    </row>
    <row r="10" spans="1:7" x14ac:dyDescent="0.2">
      <c r="A10" s="14">
        <f>COUNTIF(A4:A5,"*^*")</f>
        <v>1</v>
      </c>
      <c r="B10" s="22">
        <f>COUNTIF(B4:B5,"*No*")</f>
        <v>0</v>
      </c>
      <c r="C10" s="16">
        <f>COUNTIF(C4:C5,"*No*")</f>
        <v>1</v>
      </c>
    </row>
  </sheetData>
  <mergeCells count="1">
    <mergeCell ref="A1:C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13557-3640-B84D-93C8-FF86164A13BA}">
  <dimension ref="A1:G13"/>
  <sheetViews>
    <sheetView workbookViewId="0">
      <selection activeCell="B13" sqref="B13"/>
    </sheetView>
  </sheetViews>
  <sheetFormatPr baseColWidth="10" defaultRowHeight="16" x14ac:dyDescent="0.2"/>
  <cols>
    <col min="1" max="1" width="30" customWidth="1"/>
    <col min="2" max="2" width="30.6640625" customWidth="1"/>
    <col min="3" max="3" width="23.83203125" customWidth="1"/>
    <col min="4" max="4" width="22.33203125" customWidth="1"/>
    <col min="5" max="5" width="18.6640625" customWidth="1"/>
    <col min="6" max="6" width="18.5" customWidth="1"/>
  </cols>
  <sheetData>
    <row r="1" spans="1:7" x14ac:dyDescent="0.2">
      <c r="A1" s="37" t="s">
        <v>14</v>
      </c>
      <c r="B1" s="37"/>
      <c r="C1" s="37"/>
      <c r="D1" s="29" t="s">
        <v>141</v>
      </c>
      <c r="E1" s="30" t="s">
        <v>542</v>
      </c>
      <c r="F1" s="31" t="s">
        <v>142</v>
      </c>
      <c r="G1" s="32" t="s">
        <v>530</v>
      </c>
    </row>
    <row r="2" spans="1:7" x14ac:dyDescent="0.2">
      <c r="A2" s="37"/>
      <c r="B2" s="37"/>
      <c r="C2" s="37"/>
    </row>
    <row r="3" spans="1:7" x14ac:dyDescent="0.2">
      <c r="B3" s="1" t="s">
        <v>540</v>
      </c>
      <c r="C3" s="1" t="s">
        <v>539</v>
      </c>
      <c r="D3" s="1" t="s">
        <v>24</v>
      </c>
      <c r="E3" s="1" t="s">
        <v>26</v>
      </c>
      <c r="F3" s="1" t="s">
        <v>27</v>
      </c>
      <c r="G3" s="1"/>
    </row>
    <row r="4" spans="1:7" x14ac:dyDescent="0.2">
      <c r="A4" s="1" t="s">
        <v>426</v>
      </c>
    </row>
    <row r="5" spans="1:7" x14ac:dyDescent="0.2">
      <c r="A5" t="s">
        <v>427</v>
      </c>
      <c r="B5" t="s">
        <v>2</v>
      </c>
      <c r="C5" t="s">
        <v>2</v>
      </c>
      <c r="D5" t="s">
        <v>2</v>
      </c>
      <c r="E5" t="s">
        <v>31</v>
      </c>
      <c r="F5" s="4" t="s">
        <v>80</v>
      </c>
    </row>
    <row r="6" spans="1:7" x14ac:dyDescent="0.2">
      <c r="F6" s="4"/>
    </row>
    <row r="7" spans="1:7" x14ac:dyDescent="0.2">
      <c r="A7" s="1" t="s">
        <v>429</v>
      </c>
      <c r="F7" s="4"/>
    </row>
    <row r="8" spans="1:7" x14ac:dyDescent="0.2">
      <c r="A8" t="s">
        <v>428</v>
      </c>
      <c r="B8" t="s">
        <v>1</v>
      </c>
      <c r="C8" t="s">
        <v>1</v>
      </c>
      <c r="D8" t="s">
        <v>2</v>
      </c>
      <c r="E8" t="s">
        <v>29</v>
      </c>
      <c r="F8" s="5" t="s">
        <v>44</v>
      </c>
    </row>
    <row r="10" spans="1:7" x14ac:dyDescent="0.2">
      <c r="A10" s="11" t="s">
        <v>544</v>
      </c>
      <c r="B10" s="19" t="s">
        <v>546</v>
      </c>
      <c r="C10" s="23" t="s">
        <v>548</v>
      </c>
      <c r="D10" s="25" t="s">
        <v>550</v>
      </c>
    </row>
    <row r="11" spans="1:7" x14ac:dyDescent="0.2">
      <c r="A11" s="12">
        <f>COUNTIF(A4:A8,"*$*")</f>
        <v>2</v>
      </c>
      <c r="B11" s="20">
        <f>COUNTIF(B4:B8,"*Yes*")</f>
        <v>1</v>
      </c>
      <c r="C11" s="24">
        <f>COUNTIF(C4:C8,"*Yes*")</f>
        <v>1</v>
      </c>
      <c r="D11" s="26">
        <f>COUNTIF(D4:D8,"*Yes*")</f>
        <v>0</v>
      </c>
    </row>
    <row r="12" spans="1:7" x14ac:dyDescent="0.2">
      <c r="A12" s="13" t="s">
        <v>545</v>
      </c>
      <c r="B12" s="21" t="s">
        <v>547</v>
      </c>
      <c r="C12" s="15" t="s">
        <v>549</v>
      </c>
    </row>
    <row r="13" spans="1:7" x14ac:dyDescent="0.2">
      <c r="A13" s="14">
        <f>COUNTIF(A4:A8,"*^*")</f>
        <v>2</v>
      </c>
      <c r="B13" s="22">
        <f>COUNTIF(B4:B8,"*No*")</f>
        <v>1</v>
      </c>
      <c r="C13" s="16">
        <f>COUNTIF(C4:C8,"*No*")</f>
        <v>1</v>
      </c>
    </row>
  </sheetData>
  <mergeCells count="1">
    <mergeCell ref="A1:C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0D9C0-A767-664A-85D0-EAD091D3A70C}">
  <dimension ref="A1:G60"/>
  <sheetViews>
    <sheetView topLeftCell="A35" workbookViewId="0">
      <selection activeCell="A50" sqref="A50:XFD52"/>
    </sheetView>
  </sheetViews>
  <sheetFormatPr baseColWidth="10" defaultRowHeight="16" x14ac:dyDescent="0.2"/>
  <cols>
    <col min="1" max="1" width="29.5" customWidth="1"/>
    <col min="2" max="2" width="30.6640625" customWidth="1"/>
    <col min="3" max="3" width="25.33203125" customWidth="1"/>
    <col min="4" max="4" width="22.33203125" customWidth="1"/>
    <col min="5" max="5" width="17.83203125" customWidth="1"/>
    <col min="6" max="6" width="14.83203125" customWidth="1"/>
  </cols>
  <sheetData>
    <row r="1" spans="1:7" x14ac:dyDescent="0.2">
      <c r="A1" s="37" t="s">
        <v>8</v>
      </c>
      <c r="B1" s="37"/>
      <c r="C1" s="37"/>
      <c r="D1" s="29" t="s">
        <v>141</v>
      </c>
      <c r="E1" s="30" t="s">
        <v>700</v>
      </c>
      <c r="F1" s="31" t="s">
        <v>142</v>
      </c>
      <c r="G1" s="32" t="s">
        <v>554</v>
      </c>
    </row>
    <row r="2" spans="1:7" x14ac:dyDescent="0.2">
      <c r="A2" s="37"/>
      <c r="B2" s="37"/>
      <c r="C2" s="37"/>
    </row>
    <row r="3" spans="1:7" x14ac:dyDescent="0.2">
      <c r="B3" s="1" t="s">
        <v>540</v>
      </c>
      <c r="C3" s="1" t="s">
        <v>539</v>
      </c>
      <c r="D3" s="1" t="s">
        <v>24</v>
      </c>
      <c r="E3" s="1" t="s">
        <v>26</v>
      </c>
      <c r="F3" s="1" t="s">
        <v>27</v>
      </c>
      <c r="G3" s="1"/>
    </row>
    <row r="4" spans="1:7" x14ac:dyDescent="0.2">
      <c r="A4" s="1" t="s">
        <v>620</v>
      </c>
      <c r="B4" s="1"/>
      <c r="C4" s="1"/>
      <c r="D4" s="1"/>
      <c r="E4" s="1"/>
      <c r="F4" s="1"/>
      <c r="G4" s="1"/>
    </row>
    <row r="5" spans="1:7" x14ac:dyDescent="0.2">
      <c r="A5" t="s">
        <v>621</v>
      </c>
      <c r="B5" t="s">
        <v>2</v>
      </c>
      <c r="C5" t="s">
        <v>2</v>
      </c>
      <c r="D5" t="s">
        <v>2</v>
      </c>
      <c r="E5" t="s">
        <v>31</v>
      </c>
      <c r="F5" s="4" t="s">
        <v>616</v>
      </c>
      <c r="G5" s="1"/>
    </row>
    <row r="6" spans="1:7" x14ac:dyDescent="0.2">
      <c r="B6" s="1"/>
      <c r="C6" s="1"/>
      <c r="D6" s="1"/>
      <c r="E6" s="1"/>
      <c r="F6" s="1"/>
      <c r="G6" s="1"/>
    </row>
    <row r="7" spans="1:7" x14ac:dyDescent="0.2">
      <c r="A7" s="1" t="s">
        <v>447</v>
      </c>
      <c r="B7" s="1"/>
      <c r="C7" s="1"/>
      <c r="D7" s="1"/>
    </row>
    <row r="8" spans="1:7" x14ac:dyDescent="0.2">
      <c r="A8" t="s">
        <v>430</v>
      </c>
      <c r="B8" t="s">
        <v>2</v>
      </c>
      <c r="C8" t="s">
        <v>2</v>
      </c>
      <c r="D8" t="s">
        <v>1</v>
      </c>
      <c r="E8" t="s">
        <v>31</v>
      </c>
      <c r="F8" s="4" t="s">
        <v>65</v>
      </c>
    </row>
    <row r="9" spans="1:7" x14ac:dyDescent="0.2">
      <c r="F9" s="4"/>
    </row>
    <row r="10" spans="1:7" x14ac:dyDescent="0.2">
      <c r="A10" s="1" t="s">
        <v>448</v>
      </c>
      <c r="F10" s="4"/>
    </row>
    <row r="11" spans="1:7" x14ac:dyDescent="0.2">
      <c r="A11" t="s">
        <v>729</v>
      </c>
      <c r="B11" t="s">
        <v>1</v>
      </c>
      <c r="C11" t="s">
        <v>1</v>
      </c>
      <c r="D11" t="s">
        <v>2</v>
      </c>
      <c r="E11" t="s">
        <v>29</v>
      </c>
      <c r="F11" s="4" t="s">
        <v>725</v>
      </c>
    </row>
    <row r="12" spans="1:7" x14ac:dyDescent="0.2">
      <c r="A12" t="s">
        <v>730</v>
      </c>
      <c r="B12" t="s">
        <v>2</v>
      </c>
      <c r="C12" t="s">
        <v>2</v>
      </c>
      <c r="D12" t="s">
        <v>2</v>
      </c>
      <c r="E12" t="s">
        <v>31</v>
      </c>
      <c r="F12" s="4" t="s">
        <v>725</v>
      </c>
    </row>
    <row r="13" spans="1:7" x14ac:dyDescent="0.2">
      <c r="A13" t="s">
        <v>731</v>
      </c>
      <c r="B13" t="s">
        <v>2</v>
      </c>
      <c r="C13" t="s">
        <v>2</v>
      </c>
      <c r="D13" t="s">
        <v>2</v>
      </c>
      <c r="E13" t="s">
        <v>31</v>
      </c>
      <c r="F13" s="4" t="s">
        <v>725</v>
      </c>
    </row>
    <row r="14" spans="1:7" x14ac:dyDescent="0.2">
      <c r="A14" t="s">
        <v>732</v>
      </c>
      <c r="B14" t="s">
        <v>1</v>
      </c>
      <c r="C14" t="s">
        <v>1</v>
      </c>
      <c r="D14" t="s">
        <v>2</v>
      </c>
      <c r="E14" t="s">
        <v>29</v>
      </c>
      <c r="F14" s="4" t="s">
        <v>725</v>
      </c>
    </row>
    <row r="15" spans="1:7" x14ac:dyDescent="0.2">
      <c r="A15" t="s">
        <v>733</v>
      </c>
      <c r="B15" t="s">
        <v>2</v>
      </c>
      <c r="C15" t="s">
        <v>2</v>
      </c>
      <c r="D15" t="s">
        <v>2</v>
      </c>
      <c r="E15" t="s">
        <v>31</v>
      </c>
      <c r="F15" s="4" t="s">
        <v>725</v>
      </c>
    </row>
    <row r="16" spans="1:7" x14ac:dyDescent="0.2">
      <c r="A16" t="s">
        <v>623</v>
      </c>
      <c r="B16" t="s">
        <v>2</v>
      </c>
      <c r="C16" t="s">
        <v>2</v>
      </c>
      <c r="D16" t="s">
        <v>2</v>
      </c>
      <c r="E16" t="s">
        <v>31</v>
      </c>
      <c r="F16" s="4" t="s">
        <v>616</v>
      </c>
    </row>
    <row r="17" spans="1:6" x14ac:dyDescent="0.2">
      <c r="A17" t="s">
        <v>734</v>
      </c>
      <c r="B17" t="s">
        <v>1</v>
      </c>
      <c r="C17" t="s">
        <v>1</v>
      </c>
      <c r="D17" t="s">
        <v>2</v>
      </c>
      <c r="E17" t="s">
        <v>29</v>
      </c>
      <c r="F17" s="4" t="s">
        <v>725</v>
      </c>
    </row>
    <row r="18" spans="1:6" x14ac:dyDescent="0.2">
      <c r="A18" t="s">
        <v>735</v>
      </c>
      <c r="B18" t="s">
        <v>1</v>
      </c>
      <c r="C18" t="s">
        <v>1</v>
      </c>
      <c r="D18" t="s">
        <v>2</v>
      </c>
      <c r="E18" t="s">
        <v>29</v>
      </c>
      <c r="F18" s="4" t="s">
        <v>725</v>
      </c>
    </row>
    <row r="19" spans="1:6" x14ac:dyDescent="0.2">
      <c r="A19" t="s">
        <v>431</v>
      </c>
      <c r="B19" t="s">
        <v>2</v>
      </c>
      <c r="C19" t="s">
        <v>2</v>
      </c>
      <c r="D19" t="s">
        <v>1</v>
      </c>
      <c r="E19" t="s">
        <v>31</v>
      </c>
      <c r="F19" s="4" t="s">
        <v>67</v>
      </c>
    </row>
    <row r="20" spans="1:6" x14ac:dyDescent="0.2">
      <c r="F20" s="4"/>
    </row>
    <row r="21" spans="1:6" x14ac:dyDescent="0.2">
      <c r="A21" s="1" t="s">
        <v>450</v>
      </c>
      <c r="F21" s="4"/>
    </row>
    <row r="22" spans="1:6" x14ac:dyDescent="0.2">
      <c r="A22" t="s">
        <v>433</v>
      </c>
      <c r="B22" t="s">
        <v>2</v>
      </c>
      <c r="C22" t="s">
        <v>2</v>
      </c>
      <c r="D22" t="s">
        <v>1</v>
      </c>
      <c r="E22" t="s">
        <v>31</v>
      </c>
      <c r="F22" s="4" t="s">
        <v>619</v>
      </c>
    </row>
    <row r="23" spans="1:6" x14ac:dyDescent="0.2">
      <c r="A23" t="s">
        <v>622</v>
      </c>
      <c r="B23" t="s">
        <v>2</v>
      </c>
      <c r="C23" t="s">
        <v>2</v>
      </c>
      <c r="D23" t="s">
        <v>2</v>
      </c>
      <c r="E23" t="s">
        <v>31</v>
      </c>
      <c r="F23" s="4" t="s">
        <v>616</v>
      </c>
    </row>
    <row r="24" spans="1:6" x14ac:dyDescent="0.2">
      <c r="F24" s="4"/>
    </row>
    <row r="25" spans="1:6" x14ac:dyDescent="0.2">
      <c r="A25" t="s">
        <v>736</v>
      </c>
      <c r="F25" s="4"/>
    </row>
    <row r="26" spans="1:6" x14ac:dyDescent="0.2">
      <c r="A26" t="s">
        <v>737</v>
      </c>
      <c r="B26" t="s">
        <v>2</v>
      </c>
      <c r="C26" t="s">
        <v>2</v>
      </c>
      <c r="D26" t="s">
        <v>2</v>
      </c>
      <c r="E26" t="s">
        <v>31</v>
      </c>
      <c r="F26" s="4" t="s">
        <v>725</v>
      </c>
    </row>
    <row r="27" spans="1:6" x14ac:dyDescent="0.2">
      <c r="F27" s="4"/>
    </row>
    <row r="28" spans="1:6" x14ac:dyDescent="0.2">
      <c r="A28" s="1" t="s">
        <v>449</v>
      </c>
      <c r="F28" s="4"/>
    </row>
    <row r="29" spans="1:6" x14ac:dyDescent="0.2">
      <c r="A29" s="1" t="s">
        <v>718</v>
      </c>
      <c r="B29" t="s">
        <v>1</v>
      </c>
      <c r="C29" t="s">
        <v>1</v>
      </c>
      <c r="D29" t="s">
        <v>2</v>
      </c>
      <c r="E29" t="s">
        <v>29</v>
      </c>
      <c r="F29" s="4" t="s">
        <v>717</v>
      </c>
    </row>
    <row r="30" spans="1:6" x14ac:dyDescent="0.2">
      <c r="A30" t="s">
        <v>432</v>
      </c>
      <c r="B30" t="s">
        <v>1</v>
      </c>
      <c r="C30" t="s">
        <v>2</v>
      </c>
      <c r="D30" t="s">
        <v>1</v>
      </c>
      <c r="E30" t="s">
        <v>31</v>
      </c>
      <c r="F30" s="4" t="s">
        <v>67</v>
      </c>
    </row>
    <row r="31" spans="1:6" x14ac:dyDescent="0.2">
      <c r="F31" s="4"/>
    </row>
    <row r="32" spans="1:6" x14ac:dyDescent="0.2">
      <c r="A32" s="1" t="s">
        <v>451</v>
      </c>
      <c r="F32" s="4"/>
    </row>
    <row r="33" spans="1:7" x14ac:dyDescent="0.2">
      <c r="A33" t="s">
        <v>434</v>
      </c>
      <c r="B33" t="s">
        <v>1</v>
      </c>
      <c r="C33" t="s">
        <v>2</v>
      </c>
      <c r="D33" t="s">
        <v>1</v>
      </c>
      <c r="E33" t="s">
        <v>31</v>
      </c>
      <c r="F33" s="4" t="s">
        <v>79</v>
      </c>
    </row>
    <row r="34" spans="1:7" x14ac:dyDescent="0.2">
      <c r="F34" s="4"/>
    </row>
    <row r="35" spans="1:7" x14ac:dyDescent="0.2">
      <c r="A35" s="1" t="s">
        <v>452</v>
      </c>
      <c r="F35" s="4"/>
    </row>
    <row r="36" spans="1:7" x14ac:dyDescent="0.2">
      <c r="A36" t="s">
        <v>435</v>
      </c>
      <c r="B36" t="s">
        <v>1</v>
      </c>
      <c r="C36" t="s">
        <v>2</v>
      </c>
      <c r="D36" t="s">
        <v>1</v>
      </c>
      <c r="E36" t="s">
        <v>31</v>
      </c>
      <c r="F36" s="4" t="s">
        <v>67</v>
      </c>
    </row>
    <row r="37" spans="1:7" x14ac:dyDescent="0.2">
      <c r="A37" t="s">
        <v>436</v>
      </c>
      <c r="B37" t="s">
        <v>1</v>
      </c>
      <c r="C37" t="s">
        <v>1</v>
      </c>
      <c r="D37" t="s">
        <v>2</v>
      </c>
      <c r="E37" t="s">
        <v>32</v>
      </c>
      <c r="F37" s="5" t="s">
        <v>74</v>
      </c>
      <c r="G37" s="2"/>
    </row>
    <row r="38" spans="1:7" x14ac:dyDescent="0.2">
      <c r="A38" t="s">
        <v>437</v>
      </c>
      <c r="B38" t="s">
        <v>1</v>
      </c>
      <c r="C38" t="s">
        <v>1</v>
      </c>
      <c r="D38" t="s">
        <v>2</v>
      </c>
      <c r="E38" t="s">
        <v>39</v>
      </c>
      <c r="F38" s="18" t="s">
        <v>66</v>
      </c>
    </row>
    <row r="39" spans="1:7" x14ac:dyDescent="0.2">
      <c r="A39" t="s">
        <v>438</v>
      </c>
      <c r="B39" t="s">
        <v>1</v>
      </c>
      <c r="C39" t="s">
        <v>2</v>
      </c>
      <c r="D39" t="s">
        <v>1</v>
      </c>
      <c r="E39" t="s">
        <v>31</v>
      </c>
      <c r="F39" s="4" t="s">
        <v>109</v>
      </c>
    </row>
    <row r="40" spans="1:7" x14ac:dyDescent="0.2">
      <c r="A40" t="s">
        <v>439</v>
      </c>
      <c r="B40" t="s">
        <v>2</v>
      </c>
      <c r="C40" t="s">
        <v>2</v>
      </c>
      <c r="D40" t="s">
        <v>1</v>
      </c>
      <c r="E40" t="s">
        <v>31</v>
      </c>
      <c r="F40" s="4" t="s">
        <v>110</v>
      </c>
    </row>
    <row r="41" spans="1:7" x14ac:dyDescent="0.2">
      <c r="A41" t="s">
        <v>440</v>
      </c>
      <c r="B41" t="s">
        <v>2</v>
      </c>
      <c r="C41" t="s">
        <v>2</v>
      </c>
      <c r="D41" t="s">
        <v>1</v>
      </c>
      <c r="E41" t="s">
        <v>31</v>
      </c>
      <c r="F41" s="4" t="s">
        <v>110</v>
      </c>
    </row>
    <row r="42" spans="1:7" x14ac:dyDescent="0.2">
      <c r="A42" t="s">
        <v>441</v>
      </c>
      <c r="B42" t="s">
        <v>1</v>
      </c>
      <c r="C42" t="s">
        <v>2</v>
      </c>
      <c r="D42" t="s">
        <v>1</v>
      </c>
      <c r="E42" t="s">
        <v>31</v>
      </c>
      <c r="F42" s="4" t="s">
        <v>99</v>
      </c>
    </row>
    <row r="43" spans="1:7" x14ac:dyDescent="0.2">
      <c r="A43" t="s">
        <v>442</v>
      </c>
      <c r="B43" t="s">
        <v>2</v>
      </c>
      <c r="C43" t="s">
        <v>2</v>
      </c>
      <c r="D43" t="s">
        <v>1</v>
      </c>
      <c r="E43" t="s">
        <v>31</v>
      </c>
      <c r="F43" s="4" t="s">
        <v>618</v>
      </c>
    </row>
    <row r="44" spans="1:7" x14ac:dyDescent="0.2">
      <c r="A44" t="s">
        <v>443</v>
      </c>
      <c r="B44" t="s">
        <v>1</v>
      </c>
      <c r="C44" t="s">
        <v>2</v>
      </c>
      <c r="D44" t="s">
        <v>1</v>
      </c>
      <c r="E44" t="s">
        <v>31</v>
      </c>
      <c r="F44" s="4" t="s">
        <v>99</v>
      </c>
    </row>
    <row r="45" spans="1:7" x14ac:dyDescent="0.2">
      <c r="A45" t="s">
        <v>444</v>
      </c>
      <c r="B45" t="s">
        <v>1</v>
      </c>
      <c r="C45" t="s">
        <v>2</v>
      </c>
      <c r="D45" t="s">
        <v>1</v>
      </c>
      <c r="E45" t="s">
        <v>31</v>
      </c>
      <c r="F45" s="4" t="s">
        <v>111</v>
      </c>
    </row>
    <row r="46" spans="1:7" x14ac:dyDescent="0.2">
      <c r="F46" s="4"/>
    </row>
    <row r="47" spans="1:7" x14ac:dyDescent="0.2">
      <c r="A47" s="1" t="s">
        <v>739</v>
      </c>
      <c r="F47" s="4"/>
    </row>
    <row r="48" spans="1:7" x14ac:dyDescent="0.2">
      <c r="A48" t="s">
        <v>445</v>
      </c>
      <c r="B48" t="s">
        <v>1</v>
      </c>
      <c r="C48" t="s">
        <v>2</v>
      </c>
      <c r="D48" t="s">
        <v>1</v>
      </c>
      <c r="E48" t="s">
        <v>31</v>
      </c>
      <c r="F48" s="4" t="s">
        <v>97</v>
      </c>
    </row>
    <row r="49" spans="1:6" x14ac:dyDescent="0.2">
      <c r="F49" s="4"/>
    </row>
    <row r="50" spans="1:6" x14ac:dyDescent="0.2">
      <c r="A50" t="s">
        <v>738</v>
      </c>
      <c r="F50" s="4"/>
    </row>
    <row r="51" spans="1:6" x14ac:dyDescent="0.2">
      <c r="A51" t="s">
        <v>740</v>
      </c>
      <c r="B51" t="s">
        <v>2</v>
      </c>
      <c r="C51" t="s">
        <v>2</v>
      </c>
      <c r="D51" t="s">
        <v>2</v>
      </c>
      <c r="E51" t="s">
        <v>31</v>
      </c>
      <c r="F51" s="4" t="s">
        <v>725</v>
      </c>
    </row>
    <row r="52" spans="1:6" x14ac:dyDescent="0.2">
      <c r="A52" t="s">
        <v>741</v>
      </c>
      <c r="B52" t="s">
        <v>1</v>
      </c>
      <c r="C52" t="s">
        <v>1</v>
      </c>
      <c r="D52" t="s">
        <v>2</v>
      </c>
      <c r="E52" t="s">
        <v>29</v>
      </c>
      <c r="F52" s="4" t="s">
        <v>725</v>
      </c>
    </row>
    <row r="53" spans="1:6" x14ac:dyDescent="0.2">
      <c r="F53" s="4"/>
    </row>
    <row r="54" spans="1:6" x14ac:dyDescent="0.2">
      <c r="A54" s="1" t="s">
        <v>454</v>
      </c>
      <c r="F54" s="4"/>
    </row>
    <row r="55" spans="1:6" x14ac:dyDescent="0.2">
      <c r="A55" t="s">
        <v>446</v>
      </c>
      <c r="B55" t="s">
        <v>1</v>
      </c>
      <c r="C55" t="s">
        <v>1</v>
      </c>
      <c r="D55" t="s">
        <v>2</v>
      </c>
      <c r="E55" t="s">
        <v>39</v>
      </c>
      <c r="F55" s="4" t="s">
        <v>57</v>
      </c>
    </row>
    <row r="57" spans="1:6" x14ac:dyDescent="0.2">
      <c r="A57" s="11" t="s">
        <v>544</v>
      </c>
      <c r="B57" s="19" t="s">
        <v>546</v>
      </c>
      <c r="C57" s="23" t="s">
        <v>548</v>
      </c>
      <c r="D57" s="25" t="s">
        <v>550</v>
      </c>
    </row>
    <row r="58" spans="1:6" x14ac:dyDescent="0.2">
      <c r="A58" s="12">
        <f>COUNTIF(A4:A55,"*$*")</f>
        <v>11</v>
      </c>
      <c r="B58" s="20">
        <f>COUNTIF(B4:B55,"*Yes*")</f>
        <v>17</v>
      </c>
      <c r="C58" s="24">
        <f>COUNTIF(C4:C55,"*Yes*")</f>
        <v>9</v>
      </c>
      <c r="D58" s="26">
        <f>COUNTIF(D4:D55,"*Yes*")</f>
        <v>14</v>
      </c>
    </row>
    <row r="59" spans="1:6" x14ac:dyDescent="0.2">
      <c r="A59" s="13" t="s">
        <v>545</v>
      </c>
      <c r="B59" s="21" t="s">
        <v>547</v>
      </c>
      <c r="C59" s="15" t="s">
        <v>549</v>
      </c>
    </row>
    <row r="60" spans="1:6" x14ac:dyDescent="0.2">
      <c r="A60" s="14">
        <f>COUNTIF(A4:A55,"*^*")</f>
        <v>31</v>
      </c>
      <c r="B60" s="22">
        <f>COUNTIF(B4:B55,"*No*")</f>
        <v>14</v>
      </c>
      <c r="C60" s="16">
        <f>COUNTIF(C4:C55,"*No*")</f>
        <v>22</v>
      </c>
    </row>
  </sheetData>
  <mergeCells count="1">
    <mergeCell ref="A1:C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2BC0F-1AB4-7140-AD49-D6DC2400975C}">
  <dimension ref="A1:G13"/>
  <sheetViews>
    <sheetView workbookViewId="0">
      <selection activeCell="F5" sqref="F5"/>
    </sheetView>
  </sheetViews>
  <sheetFormatPr baseColWidth="10" defaultRowHeight="16" x14ac:dyDescent="0.2"/>
  <cols>
    <col min="1" max="1" width="29" customWidth="1"/>
    <col min="2" max="2" width="30.6640625" customWidth="1"/>
    <col min="3" max="3" width="20.6640625" customWidth="1"/>
    <col min="4" max="4" width="22.33203125" customWidth="1"/>
    <col min="5" max="5" width="17.5" customWidth="1"/>
    <col min="6" max="6" width="18.83203125" customWidth="1"/>
    <col min="7" max="7" width="22.6640625" customWidth="1"/>
  </cols>
  <sheetData>
    <row r="1" spans="1:7" x14ac:dyDescent="0.2">
      <c r="A1" s="37" t="s">
        <v>16</v>
      </c>
      <c r="B1" s="37"/>
      <c r="C1" s="37"/>
      <c r="D1" s="29" t="s">
        <v>141</v>
      </c>
      <c r="E1" s="30" t="s">
        <v>701</v>
      </c>
      <c r="F1" s="31" t="s">
        <v>142</v>
      </c>
      <c r="G1" s="32" t="s">
        <v>702</v>
      </c>
    </row>
    <row r="2" spans="1:7" x14ac:dyDescent="0.2">
      <c r="A2" s="37"/>
      <c r="B2" s="37"/>
      <c r="C2" s="37"/>
    </row>
    <row r="3" spans="1:7" x14ac:dyDescent="0.2">
      <c r="B3" s="1" t="s">
        <v>540</v>
      </c>
      <c r="C3" s="1" t="s">
        <v>539</v>
      </c>
      <c r="D3" s="1" t="s">
        <v>24</v>
      </c>
      <c r="E3" s="1" t="s">
        <v>26</v>
      </c>
      <c r="F3" s="1" t="s">
        <v>27</v>
      </c>
      <c r="G3" s="1"/>
    </row>
    <row r="4" spans="1:7" x14ac:dyDescent="0.2">
      <c r="A4" t="s">
        <v>674</v>
      </c>
      <c r="B4" s="1"/>
      <c r="C4" s="1"/>
      <c r="D4" s="1"/>
      <c r="E4" s="1"/>
      <c r="F4" s="1"/>
      <c r="G4" s="1"/>
    </row>
    <row r="5" spans="1:7" x14ac:dyDescent="0.2">
      <c r="A5" t="s">
        <v>675</v>
      </c>
      <c r="B5" t="s">
        <v>1</v>
      </c>
      <c r="C5" t="s">
        <v>2</v>
      </c>
      <c r="D5" t="s">
        <v>1</v>
      </c>
      <c r="E5" t="s">
        <v>31</v>
      </c>
      <c r="F5" s="4" t="s">
        <v>43</v>
      </c>
    </row>
    <row r="6" spans="1:7" x14ac:dyDescent="0.2">
      <c r="B6" s="1"/>
      <c r="C6" s="1"/>
      <c r="D6" s="1"/>
      <c r="E6" s="1"/>
      <c r="F6" s="1"/>
      <c r="G6" s="1"/>
    </row>
    <row r="7" spans="1:7" x14ac:dyDescent="0.2">
      <c r="A7" s="1" t="s">
        <v>456</v>
      </c>
    </row>
    <row r="8" spans="1:7" x14ac:dyDescent="0.2">
      <c r="A8" t="s">
        <v>455</v>
      </c>
      <c r="B8" t="s">
        <v>1</v>
      </c>
      <c r="C8" t="s">
        <v>2</v>
      </c>
      <c r="D8" t="s">
        <v>1</v>
      </c>
      <c r="E8" t="s">
        <v>31</v>
      </c>
      <c r="F8" s="4" t="s">
        <v>43</v>
      </c>
      <c r="G8" s="4"/>
    </row>
    <row r="10" spans="1:7" x14ac:dyDescent="0.2">
      <c r="A10" s="11" t="s">
        <v>544</v>
      </c>
      <c r="B10" s="19" t="s">
        <v>546</v>
      </c>
      <c r="C10" s="23" t="s">
        <v>548</v>
      </c>
      <c r="D10" s="25" t="s">
        <v>550</v>
      </c>
    </row>
    <row r="11" spans="1:7" x14ac:dyDescent="0.2">
      <c r="A11" s="12">
        <f>COUNTIF(A1:A8,"*$*")</f>
        <v>2</v>
      </c>
      <c r="B11" s="20">
        <f>COUNTIF(B1:B8,"*Yes*")</f>
        <v>2</v>
      </c>
      <c r="C11" s="24">
        <f>COUNTIF(C1:C8,"*Yes*")</f>
        <v>0</v>
      </c>
      <c r="D11" s="26">
        <f>COUNTIF(D1:D8,"*Yes*")</f>
        <v>2</v>
      </c>
    </row>
    <row r="12" spans="1:7" x14ac:dyDescent="0.2">
      <c r="A12" s="13" t="s">
        <v>545</v>
      </c>
      <c r="B12" s="21" t="s">
        <v>547</v>
      </c>
      <c r="C12" s="15" t="s">
        <v>549</v>
      </c>
    </row>
    <row r="13" spans="1:7" x14ac:dyDescent="0.2">
      <c r="A13" s="14">
        <f>COUNTIF(A1:A8,"*^*")</f>
        <v>2</v>
      </c>
      <c r="B13" s="22">
        <f>COUNTIF(B1:B8,"*No*")</f>
        <v>0</v>
      </c>
      <c r="C13" s="16">
        <f>COUNTIF(C1:C8,"*No*")</f>
        <v>2</v>
      </c>
    </row>
  </sheetData>
  <mergeCells count="1">
    <mergeCell ref="A1:C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FB20F-56EB-7C4C-B0CA-DEFBA8C25412}">
  <dimension ref="A1:G15"/>
  <sheetViews>
    <sheetView workbookViewId="0">
      <selection activeCell="F14" sqref="F14"/>
    </sheetView>
  </sheetViews>
  <sheetFormatPr baseColWidth="10" defaultRowHeight="16" x14ac:dyDescent="0.2"/>
  <cols>
    <col min="1" max="1" width="25.6640625" customWidth="1"/>
    <col min="2" max="2" width="30.33203125" customWidth="1"/>
    <col min="3" max="3" width="21.1640625" customWidth="1"/>
    <col min="4" max="4" width="22.33203125" customWidth="1"/>
    <col min="5" max="5" width="22.1640625" customWidth="1"/>
    <col min="6" max="6" width="17.83203125" customWidth="1"/>
  </cols>
  <sheetData>
    <row r="1" spans="1:7" x14ac:dyDescent="0.2">
      <c r="A1" s="37" t="s">
        <v>12</v>
      </c>
      <c r="B1" s="37"/>
      <c r="C1" s="37"/>
      <c r="D1" s="29" t="s">
        <v>141</v>
      </c>
      <c r="E1" s="30" t="s">
        <v>703</v>
      </c>
      <c r="F1" s="31" t="s">
        <v>142</v>
      </c>
      <c r="G1" s="32" t="s">
        <v>543</v>
      </c>
    </row>
    <row r="2" spans="1:7" x14ac:dyDescent="0.2">
      <c r="A2" s="37"/>
      <c r="B2" s="37"/>
      <c r="C2" s="37"/>
    </row>
    <row r="3" spans="1:7" x14ac:dyDescent="0.2">
      <c r="B3" s="1" t="s">
        <v>540</v>
      </c>
      <c r="C3" s="1" t="s">
        <v>539</v>
      </c>
      <c r="D3" s="1" t="s">
        <v>24</v>
      </c>
      <c r="E3" s="1" t="s">
        <v>26</v>
      </c>
      <c r="F3" s="1" t="s">
        <v>27</v>
      </c>
      <c r="G3" s="1"/>
    </row>
    <row r="4" spans="1:7" x14ac:dyDescent="0.2">
      <c r="A4" s="1" t="s">
        <v>459</v>
      </c>
    </row>
    <row r="5" spans="1:7" x14ac:dyDescent="0.2">
      <c r="A5" t="s">
        <v>460</v>
      </c>
      <c r="B5" t="s">
        <v>1</v>
      </c>
      <c r="C5" t="s">
        <v>1</v>
      </c>
      <c r="D5" t="s">
        <v>2</v>
      </c>
      <c r="E5" t="s">
        <v>84</v>
      </c>
      <c r="F5" s="4" t="s">
        <v>123</v>
      </c>
    </row>
    <row r="6" spans="1:7" ht="17" customHeight="1" x14ac:dyDescent="0.2">
      <c r="A6" t="s">
        <v>461</v>
      </c>
      <c r="B6" t="s">
        <v>1</v>
      </c>
      <c r="C6" t="s">
        <v>2</v>
      </c>
      <c r="D6" t="s">
        <v>1</v>
      </c>
      <c r="E6" t="s">
        <v>31</v>
      </c>
      <c r="F6" s="4" t="s">
        <v>118</v>
      </c>
    </row>
    <row r="7" spans="1:7" ht="17" customHeight="1" x14ac:dyDescent="0.2">
      <c r="A7" t="s">
        <v>676</v>
      </c>
      <c r="B7" t="s">
        <v>1</v>
      </c>
      <c r="C7" t="s">
        <v>1</v>
      </c>
      <c r="D7" t="s">
        <v>2</v>
      </c>
      <c r="E7" t="s">
        <v>677</v>
      </c>
      <c r="F7" s="4" t="s">
        <v>678</v>
      </c>
    </row>
    <row r="9" spans="1:7" x14ac:dyDescent="0.2">
      <c r="A9" s="1" t="s">
        <v>463</v>
      </c>
    </row>
    <row r="10" spans="1:7" x14ac:dyDescent="0.2">
      <c r="A10" t="s">
        <v>462</v>
      </c>
      <c r="B10" t="s">
        <v>1</v>
      </c>
      <c r="C10" t="s">
        <v>1</v>
      </c>
      <c r="D10" t="s">
        <v>2</v>
      </c>
      <c r="E10" t="s">
        <v>54</v>
      </c>
      <c r="F10" s="4" t="s">
        <v>117</v>
      </c>
    </row>
    <row r="12" spans="1:7" x14ac:dyDescent="0.2">
      <c r="A12" s="11" t="s">
        <v>544</v>
      </c>
      <c r="B12" s="19" t="s">
        <v>546</v>
      </c>
      <c r="C12" s="23" t="s">
        <v>548</v>
      </c>
      <c r="D12" s="25" t="s">
        <v>550</v>
      </c>
    </row>
    <row r="13" spans="1:7" x14ac:dyDescent="0.2">
      <c r="A13" s="12">
        <f>COUNTIF(A4:A10,"*$*")</f>
        <v>2</v>
      </c>
      <c r="B13" s="20">
        <f>COUNTIF(B4:B10,"*Yes*")</f>
        <v>4</v>
      </c>
      <c r="C13" s="24">
        <f>COUNTIF(C4:C10,"*Yes*")</f>
        <v>3</v>
      </c>
      <c r="D13" s="26">
        <f>COUNTIF(D4:D10,"*Yes*")</f>
        <v>1</v>
      </c>
    </row>
    <row r="14" spans="1:7" x14ac:dyDescent="0.2">
      <c r="A14" s="13" t="s">
        <v>545</v>
      </c>
      <c r="B14" s="21" t="s">
        <v>547</v>
      </c>
      <c r="C14" s="15" t="s">
        <v>549</v>
      </c>
    </row>
    <row r="15" spans="1:7" x14ac:dyDescent="0.2">
      <c r="A15" s="14">
        <f>COUNTIF(A4:A10,"*^*")</f>
        <v>4</v>
      </c>
      <c r="B15" s="22">
        <f>COUNTIF(B4:B10,"*No*")</f>
        <v>0</v>
      </c>
      <c r="C15" s="16">
        <f>COUNTIF(C4:C10,"*No*")</f>
        <v>1</v>
      </c>
    </row>
  </sheetData>
  <mergeCells count="1">
    <mergeCell ref="A1:C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0A0D6-479D-E84D-9CBD-B4BBC443D82B}">
  <dimension ref="A1:G10"/>
  <sheetViews>
    <sheetView workbookViewId="0">
      <selection activeCell="A5" sqref="A5:XFD5"/>
    </sheetView>
  </sheetViews>
  <sheetFormatPr baseColWidth="10" defaultRowHeight="16" x14ac:dyDescent="0.2"/>
  <cols>
    <col min="1" max="1" width="24.1640625" customWidth="1"/>
    <col min="2" max="2" width="31.1640625" customWidth="1"/>
    <col min="3" max="3" width="24.33203125" customWidth="1"/>
    <col min="4" max="4" width="21.5" customWidth="1"/>
    <col min="5" max="5" width="17.83203125" customWidth="1"/>
    <col min="6" max="6" width="15.1640625" customWidth="1"/>
  </cols>
  <sheetData>
    <row r="1" spans="1:7" x14ac:dyDescent="0.2">
      <c r="A1" s="37" t="s">
        <v>115</v>
      </c>
      <c r="B1" s="37"/>
      <c r="C1" s="37"/>
      <c r="D1" s="29" t="s">
        <v>141</v>
      </c>
      <c r="E1" s="30" t="s">
        <v>533</v>
      </c>
      <c r="F1" s="31" t="s">
        <v>142</v>
      </c>
      <c r="G1" s="32" t="s">
        <v>532</v>
      </c>
    </row>
    <row r="2" spans="1:7" x14ac:dyDescent="0.2">
      <c r="A2" s="37"/>
      <c r="B2" s="37"/>
      <c r="C2" s="37"/>
    </row>
    <row r="3" spans="1:7" x14ac:dyDescent="0.2">
      <c r="B3" s="1" t="s">
        <v>540</v>
      </c>
      <c r="C3" s="1" t="s">
        <v>539</v>
      </c>
      <c r="D3" s="1" t="s">
        <v>24</v>
      </c>
      <c r="E3" s="1" t="s">
        <v>26</v>
      </c>
      <c r="F3" s="1" t="s">
        <v>27</v>
      </c>
      <c r="G3" s="1"/>
    </row>
    <row r="4" spans="1:7" x14ac:dyDescent="0.2">
      <c r="A4" t="s">
        <v>457</v>
      </c>
    </row>
    <row r="5" spans="1:7" x14ac:dyDescent="0.2">
      <c r="A5" t="s">
        <v>458</v>
      </c>
      <c r="B5" t="s">
        <v>1</v>
      </c>
      <c r="C5" t="s">
        <v>1</v>
      </c>
      <c r="D5" t="s">
        <v>2</v>
      </c>
      <c r="E5" t="s">
        <v>29</v>
      </c>
      <c r="F5" s="4" t="s">
        <v>725</v>
      </c>
    </row>
    <row r="7" spans="1:7" x14ac:dyDescent="0.2">
      <c r="A7" s="11" t="s">
        <v>544</v>
      </c>
      <c r="B7" s="19" t="s">
        <v>546</v>
      </c>
      <c r="C7" s="23" t="s">
        <v>548</v>
      </c>
      <c r="D7" s="25" t="s">
        <v>550</v>
      </c>
    </row>
    <row r="8" spans="1:7" x14ac:dyDescent="0.2">
      <c r="A8" s="12">
        <f>COUNTIF(A1:A5,"*$*")</f>
        <v>1</v>
      </c>
      <c r="B8" s="20">
        <f>COUNTIF(B1:B5,"*Yes*")</f>
        <v>1</v>
      </c>
      <c r="C8" s="24">
        <f>COUNTIF(C1:C5,"*Yes*")</f>
        <v>1</v>
      </c>
      <c r="D8" s="26">
        <f>COUNTIF(D1:D5,"*Yes*")</f>
        <v>0</v>
      </c>
    </row>
    <row r="9" spans="1:7" x14ac:dyDescent="0.2">
      <c r="A9" s="13" t="s">
        <v>545</v>
      </c>
      <c r="B9" s="21" t="s">
        <v>547</v>
      </c>
      <c r="C9" s="15" t="s">
        <v>549</v>
      </c>
    </row>
    <row r="10" spans="1:7" x14ac:dyDescent="0.2">
      <c r="A10" s="14">
        <f>COUNTIF(A1:A5,"*^*")</f>
        <v>1</v>
      </c>
      <c r="B10" s="22">
        <f>COUNTIF(B1:B5,"*No*")</f>
        <v>0</v>
      </c>
      <c r="C10" s="16">
        <f>COUNTIF(C1:C5,"*No*")</f>
        <v>0</v>
      </c>
    </row>
  </sheetData>
  <mergeCells count="1">
    <mergeCell ref="A1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A6965-64A8-B740-B3F3-1119E43CA0B5}">
  <dimension ref="A1:G12"/>
  <sheetViews>
    <sheetView workbookViewId="0">
      <selection activeCell="A12" sqref="A12"/>
    </sheetView>
  </sheetViews>
  <sheetFormatPr baseColWidth="10" defaultRowHeight="16" x14ac:dyDescent="0.2"/>
  <cols>
    <col min="1" max="1" width="26.6640625" customWidth="1"/>
    <col min="2" max="2" width="30" customWidth="1"/>
    <col min="3" max="3" width="26.6640625" customWidth="1"/>
    <col min="4" max="4" width="21.83203125" customWidth="1"/>
    <col min="5" max="5" width="19.5" customWidth="1"/>
    <col min="6" max="6" width="18" customWidth="1"/>
  </cols>
  <sheetData>
    <row r="1" spans="1:7" x14ac:dyDescent="0.2">
      <c r="A1" s="37" t="s">
        <v>11</v>
      </c>
      <c r="B1" s="37"/>
      <c r="C1" s="37"/>
      <c r="D1" s="29" t="s">
        <v>141</v>
      </c>
      <c r="E1" s="30" t="s">
        <v>704</v>
      </c>
      <c r="F1" s="31" t="s">
        <v>142</v>
      </c>
      <c r="G1" s="32" t="s">
        <v>531</v>
      </c>
    </row>
    <row r="2" spans="1:7" x14ac:dyDescent="0.2">
      <c r="A2" s="37"/>
      <c r="B2" s="37"/>
      <c r="C2" s="37"/>
    </row>
    <row r="3" spans="1:7" x14ac:dyDescent="0.2">
      <c r="B3" s="1" t="s">
        <v>540</v>
      </c>
      <c r="C3" s="1" t="s">
        <v>539</v>
      </c>
      <c r="D3" s="1" t="s">
        <v>24</v>
      </c>
      <c r="E3" s="1" t="s">
        <v>26</v>
      </c>
      <c r="F3" s="1" t="s">
        <v>27</v>
      </c>
      <c r="G3" s="1"/>
    </row>
    <row r="4" spans="1:7" x14ac:dyDescent="0.2">
      <c r="A4" s="1" t="s">
        <v>465</v>
      </c>
    </row>
    <row r="5" spans="1:7" x14ac:dyDescent="0.2">
      <c r="A5" t="s">
        <v>624</v>
      </c>
      <c r="B5" t="s">
        <v>2</v>
      </c>
      <c r="C5" t="s">
        <v>2</v>
      </c>
      <c r="D5" t="s">
        <v>2</v>
      </c>
      <c r="E5" t="s">
        <v>31</v>
      </c>
      <c r="F5" s="4" t="s">
        <v>616</v>
      </c>
    </row>
    <row r="6" spans="1:7" x14ac:dyDescent="0.2">
      <c r="A6" t="s">
        <v>464</v>
      </c>
      <c r="B6" t="s">
        <v>1</v>
      </c>
      <c r="C6" t="s">
        <v>1</v>
      </c>
      <c r="D6" t="s">
        <v>2</v>
      </c>
      <c r="E6" t="s">
        <v>39</v>
      </c>
      <c r="F6" s="6" t="s">
        <v>81</v>
      </c>
    </row>
    <row r="7" spans="1:7" x14ac:dyDescent="0.2">
      <c r="A7" t="s">
        <v>625</v>
      </c>
      <c r="B7" t="s">
        <v>2</v>
      </c>
      <c r="C7" t="s">
        <v>2</v>
      </c>
      <c r="D7" t="s">
        <v>2</v>
      </c>
      <c r="E7" t="s">
        <v>31</v>
      </c>
      <c r="F7" s="4" t="s">
        <v>616</v>
      </c>
    </row>
    <row r="9" spans="1:7" x14ac:dyDescent="0.2">
      <c r="A9" s="11" t="s">
        <v>544</v>
      </c>
      <c r="B9" s="19" t="s">
        <v>546</v>
      </c>
      <c r="C9" s="23" t="s">
        <v>548</v>
      </c>
      <c r="D9" s="25" t="s">
        <v>550</v>
      </c>
    </row>
    <row r="10" spans="1:7" x14ac:dyDescent="0.2">
      <c r="A10" s="12">
        <f>COUNTIF(A1:A7,"*$*")</f>
        <v>1</v>
      </c>
      <c r="B10" s="20">
        <f>COUNTIF(B1:B7,"*Yes*")</f>
        <v>1</v>
      </c>
      <c r="C10" s="24">
        <f>COUNTIF(C1:C7,"*Yes*")</f>
        <v>1</v>
      </c>
      <c r="D10" s="26">
        <f>COUNTIF(D1:D7,"*Yes*")</f>
        <v>0</v>
      </c>
    </row>
    <row r="11" spans="1:7" x14ac:dyDescent="0.2">
      <c r="A11" s="13" t="s">
        <v>545</v>
      </c>
      <c r="B11" s="21" t="s">
        <v>547</v>
      </c>
      <c r="C11" s="15" t="s">
        <v>549</v>
      </c>
    </row>
    <row r="12" spans="1:7" x14ac:dyDescent="0.2">
      <c r="A12" s="14">
        <f>COUNTIF(A1:A7,"*^*")</f>
        <v>3</v>
      </c>
      <c r="B12" s="22">
        <f>COUNTIF(B1:B7,"*No*")</f>
        <v>2</v>
      </c>
      <c r="C12" s="16">
        <f>COUNTIF(C1:C7,"*No*")</f>
        <v>2</v>
      </c>
    </row>
  </sheetData>
  <mergeCells count="1">
    <mergeCell ref="A1:C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65528-C97A-4845-83DD-430CE9DBA9D5}">
  <dimension ref="A1:G14"/>
  <sheetViews>
    <sheetView workbookViewId="0">
      <selection activeCell="F9" sqref="F9"/>
    </sheetView>
  </sheetViews>
  <sheetFormatPr baseColWidth="10" defaultRowHeight="16" x14ac:dyDescent="0.2"/>
  <cols>
    <col min="1" max="1" width="27" customWidth="1"/>
    <col min="2" max="2" width="30.33203125" customWidth="1"/>
    <col min="3" max="3" width="24.83203125" customWidth="1"/>
    <col min="4" max="4" width="22.1640625" customWidth="1"/>
    <col min="5" max="5" width="18.1640625" customWidth="1"/>
    <col min="6" max="6" width="21" customWidth="1"/>
  </cols>
  <sheetData>
    <row r="1" spans="1:7" x14ac:dyDescent="0.2">
      <c r="A1" s="37" t="s">
        <v>10</v>
      </c>
      <c r="B1" s="37"/>
      <c r="C1" s="37"/>
      <c r="D1" s="29" t="s">
        <v>141</v>
      </c>
      <c r="E1" s="30" t="s">
        <v>705</v>
      </c>
      <c r="F1" s="31" t="s">
        <v>142</v>
      </c>
      <c r="G1" s="32" t="s">
        <v>706</v>
      </c>
    </row>
    <row r="2" spans="1:7" x14ac:dyDescent="0.2">
      <c r="A2" s="37"/>
      <c r="B2" s="37"/>
      <c r="C2" s="37"/>
    </row>
    <row r="3" spans="1:7" x14ac:dyDescent="0.2">
      <c r="B3" s="1" t="s">
        <v>540</v>
      </c>
      <c r="C3" s="1" t="s">
        <v>539</v>
      </c>
      <c r="D3" s="1" t="s">
        <v>24</v>
      </c>
      <c r="E3" s="1" t="s">
        <v>26</v>
      </c>
      <c r="F3" s="1" t="s">
        <v>27</v>
      </c>
      <c r="G3" s="1"/>
    </row>
    <row r="4" spans="1:7" x14ac:dyDescent="0.2">
      <c r="A4" s="1" t="s">
        <v>466</v>
      </c>
    </row>
    <row r="5" spans="1:7" x14ac:dyDescent="0.2">
      <c r="A5" t="s">
        <v>467</v>
      </c>
      <c r="B5" t="s">
        <v>1</v>
      </c>
      <c r="C5" t="s">
        <v>2</v>
      </c>
      <c r="D5" t="s">
        <v>1</v>
      </c>
      <c r="E5" t="s">
        <v>31</v>
      </c>
      <c r="F5" s="4" t="s">
        <v>70</v>
      </c>
    </row>
    <row r="6" spans="1:7" x14ac:dyDescent="0.2">
      <c r="A6" t="s">
        <v>468</v>
      </c>
      <c r="B6" t="s">
        <v>1</v>
      </c>
      <c r="C6" t="s">
        <v>2</v>
      </c>
      <c r="D6" t="s">
        <v>1</v>
      </c>
      <c r="E6" t="s">
        <v>31</v>
      </c>
      <c r="F6" s="4" t="s">
        <v>71</v>
      </c>
      <c r="G6" s="4"/>
    </row>
    <row r="7" spans="1:7" x14ac:dyDescent="0.2">
      <c r="F7" s="4"/>
    </row>
    <row r="8" spans="1:7" x14ac:dyDescent="0.2">
      <c r="A8" s="1" t="s">
        <v>469</v>
      </c>
      <c r="F8" s="4"/>
    </row>
    <row r="9" spans="1:7" x14ac:dyDescent="0.2">
      <c r="A9" t="s">
        <v>470</v>
      </c>
      <c r="B9" t="s">
        <v>1</v>
      </c>
      <c r="C9" t="s">
        <v>2</v>
      </c>
      <c r="D9" t="s">
        <v>1</v>
      </c>
      <c r="E9" t="s">
        <v>31</v>
      </c>
      <c r="F9" s="4" t="s">
        <v>69</v>
      </c>
    </row>
    <row r="11" spans="1:7" x14ac:dyDescent="0.2">
      <c r="A11" s="11" t="s">
        <v>544</v>
      </c>
      <c r="B11" s="19" t="s">
        <v>546</v>
      </c>
      <c r="C11" s="23" t="s">
        <v>548</v>
      </c>
      <c r="D11" s="25" t="s">
        <v>550</v>
      </c>
    </row>
    <row r="12" spans="1:7" x14ac:dyDescent="0.2">
      <c r="A12" s="12">
        <f>COUNTIF(A4:A9,"*$*")</f>
        <v>2</v>
      </c>
      <c r="B12" s="20">
        <f>COUNTIF(B4:B9,"*Yes*")</f>
        <v>3</v>
      </c>
      <c r="C12" s="24">
        <f>COUNTIF(C4:C9,"*Yes*")</f>
        <v>0</v>
      </c>
      <c r="D12" s="26">
        <f>COUNTIF(D4:D9,"*Yes*")</f>
        <v>3</v>
      </c>
    </row>
    <row r="13" spans="1:7" x14ac:dyDescent="0.2">
      <c r="A13" s="13" t="s">
        <v>545</v>
      </c>
      <c r="B13" s="21" t="s">
        <v>547</v>
      </c>
      <c r="C13" s="15" t="s">
        <v>549</v>
      </c>
    </row>
    <row r="14" spans="1:7" x14ac:dyDescent="0.2">
      <c r="A14" s="14">
        <f>COUNTIF(A4:A9,"*^*")</f>
        <v>3</v>
      </c>
      <c r="B14" s="22">
        <f>COUNTIF(B4:B9,"*No*")</f>
        <v>0</v>
      </c>
      <c r="C14" s="16">
        <f>COUNTIF(C4:C9,"*No*")</f>
        <v>3</v>
      </c>
    </row>
  </sheetData>
  <mergeCells count="1">
    <mergeCell ref="A1:C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83DEC-7690-2242-9E80-CD8EB72C4DFF}">
  <dimension ref="A1:G98"/>
  <sheetViews>
    <sheetView topLeftCell="A44" workbookViewId="0">
      <selection activeCell="F64" sqref="F64"/>
    </sheetView>
  </sheetViews>
  <sheetFormatPr baseColWidth="10" defaultRowHeight="16" x14ac:dyDescent="0.2"/>
  <cols>
    <col min="1" max="1" width="35.33203125" customWidth="1"/>
    <col min="2" max="2" width="30.5" customWidth="1"/>
    <col min="3" max="3" width="24.33203125" customWidth="1"/>
    <col min="4" max="4" width="22.1640625" customWidth="1"/>
    <col min="5" max="5" width="21.83203125" customWidth="1"/>
    <col min="6" max="6" width="36.1640625" customWidth="1"/>
  </cols>
  <sheetData>
    <row r="1" spans="1:7" x14ac:dyDescent="0.2">
      <c r="A1" s="37" t="s">
        <v>6</v>
      </c>
      <c r="B1" s="37"/>
      <c r="C1" s="37"/>
      <c r="D1" s="29" t="s">
        <v>141</v>
      </c>
      <c r="E1" s="30" t="s">
        <v>707</v>
      </c>
      <c r="F1" s="31" t="s">
        <v>142</v>
      </c>
      <c r="G1" s="32" t="s">
        <v>708</v>
      </c>
    </row>
    <row r="2" spans="1:7" x14ac:dyDescent="0.2">
      <c r="A2" s="37"/>
      <c r="B2" s="37"/>
      <c r="C2" s="37"/>
    </row>
    <row r="3" spans="1:7" x14ac:dyDescent="0.2">
      <c r="B3" s="1" t="s">
        <v>540</v>
      </c>
      <c r="C3" s="1" t="s">
        <v>539</v>
      </c>
      <c r="D3" s="1" t="s">
        <v>24</v>
      </c>
      <c r="E3" s="1" t="s">
        <v>26</v>
      </c>
      <c r="F3" s="1" t="s">
        <v>27</v>
      </c>
      <c r="G3" s="1"/>
    </row>
    <row r="4" spans="1:7" x14ac:dyDescent="0.2">
      <c r="A4" s="1" t="s">
        <v>507</v>
      </c>
      <c r="B4" s="1"/>
      <c r="C4" s="1"/>
      <c r="F4" s="4"/>
    </row>
    <row r="5" spans="1:7" x14ac:dyDescent="0.2">
      <c r="A5" t="s">
        <v>471</v>
      </c>
      <c r="B5" t="s">
        <v>1</v>
      </c>
      <c r="C5" t="s">
        <v>1</v>
      </c>
      <c r="D5" t="s">
        <v>2</v>
      </c>
      <c r="E5" t="s">
        <v>45</v>
      </c>
      <c r="F5" s="4" t="s">
        <v>46</v>
      </c>
    </row>
    <row r="6" spans="1:7" x14ac:dyDescent="0.2">
      <c r="B6" s="1"/>
      <c r="C6" s="1"/>
      <c r="F6" s="4"/>
    </row>
    <row r="7" spans="1:7" x14ac:dyDescent="0.2">
      <c r="A7" s="1" t="s">
        <v>508</v>
      </c>
      <c r="B7" s="1"/>
      <c r="C7" s="1"/>
      <c r="F7" s="4"/>
    </row>
    <row r="8" spans="1:7" x14ac:dyDescent="0.2">
      <c r="A8" t="s">
        <v>472</v>
      </c>
      <c r="B8" t="s">
        <v>1</v>
      </c>
      <c r="C8" t="s">
        <v>2</v>
      </c>
      <c r="D8" t="s">
        <v>1</v>
      </c>
      <c r="E8" t="s">
        <v>31</v>
      </c>
      <c r="F8" s="4" t="s">
        <v>43</v>
      </c>
    </row>
    <row r="9" spans="1:7" x14ac:dyDescent="0.2">
      <c r="F9" s="4"/>
    </row>
    <row r="10" spans="1:7" x14ac:dyDescent="0.2">
      <c r="A10" s="1" t="s">
        <v>509</v>
      </c>
      <c r="F10" s="4"/>
    </row>
    <row r="11" spans="1:7" x14ac:dyDescent="0.2">
      <c r="A11" t="s">
        <v>473</v>
      </c>
      <c r="B11" t="s">
        <v>1</v>
      </c>
      <c r="C11" t="s">
        <v>2</v>
      </c>
      <c r="D11" t="s">
        <v>1</v>
      </c>
      <c r="E11" t="s">
        <v>31</v>
      </c>
      <c r="F11" s="4" t="s">
        <v>47</v>
      </c>
    </row>
    <row r="12" spans="1:7" x14ac:dyDescent="0.2">
      <c r="A12" t="s">
        <v>474</v>
      </c>
      <c r="B12" t="s">
        <v>1</v>
      </c>
      <c r="C12" t="s">
        <v>1</v>
      </c>
      <c r="D12" t="s">
        <v>2</v>
      </c>
      <c r="E12" t="s">
        <v>50</v>
      </c>
      <c r="F12" s="4" t="s">
        <v>51</v>
      </c>
    </row>
    <row r="13" spans="1:7" x14ac:dyDescent="0.2">
      <c r="F13" s="4"/>
    </row>
    <row r="14" spans="1:7" x14ac:dyDescent="0.2">
      <c r="A14" s="1" t="s">
        <v>510</v>
      </c>
      <c r="B14" s="1"/>
      <c r="C14" s="1"/>
      <c r="D14" s="1"/>
      <c r="F14" s="4"/>
    </row>
    <row r="15" spans="1:7" x14ac:dyDescent="0.2">
      <c r="A15" t="s">
        <v>475</v>
      </c>
      <c r="B15" t="s">
        <v>1</v>
      </c>
      <c r="C15" t="s">
        <v>2</v>
      </c>
      <c r="D15" t="s">
        <v>1</v>
      </c>
      <c r="E15" t="s">
        <v>31</v>
      </c>
      <c r="F15" s="4" t="s">
        <v>43</v>
      </c>
    </row>
    <row r="16" spans="1:7" x14ac:dyDescent="0.2">
      <c r="F16" s="4"/>
    </row>
    <row r="17" spans="1:7" x14ac:dyDescent="0.2">
      <c r="A17" s="1" t="s">
        <v>511</v>
      </c>
      <c r="F17" s="4"/>
      <c r="G17" s="4"/>
    </row>
    <row r="18" spans="1:7" x14ac:dyDescent="0.2">
      <c r="A18" t="s">
        <v>476</v>
      </c>
      <c r="B18" t="s">
        <v>1</v>
      </c>
      <c r="C18" t="s">
        <v>1</v>
      </c>
      <c r="D18" t="s">
        <v>2</v>
      </c>
      <c r="E18" t="s">
        <v>73</v>
      </c>
      <c r="F18" s="4" t="s">
        <v>46</v>
      </c>
    </row>
    <row r="19" spans="1:7" x14ac:dyDescent="0.2">
      <c r="F19" s="4"/>
    </row>
    <row r="20" spans="1:7" x14ac:dyDescent="0.2">
      <c r="A20" s="1" t="s">
        <v>512</v>
      </c>
      <c r="F20" s="4"/>
    </row>
    <row r="21" spans="1:7" x14ac:dyDescent="0.2">
      <c r="A21" t="s">
        <v>477</v>
      </c>
      <c r="B21" t="s">
        <v>1</v>
      </c>
      <c r="C21" t="s">
        <v>2</v>
      </c>
      <c r="D21" t="s">
        <v>1</v>
      </c>
      <c r="E21" t="s">
        <v>31</v>
      </c>
      <c r="F21" s="4" t="s">
        <v>43</v>
      </c>
    </row>
    <row r="22" spans="1:7" x14ac:dyDescent="0.2">
      <c r="A22" t="s">
        <v>478</v>
      </c>
      <c r="B22" t="s">
        <v>1</v>
      </c>
      <c r="C22" t="s">
        <v>1</v>
      </c>
      <c r="D22" t="s">
        <v>2</v>
      </c>
      <c r="E22" t="s">
        <v>73</v>
      </c>
      <c r="F22" s="4" t="s">
        <v>46</v>
      </c>
    </row>
    <row r="23" spans="1:7" x14ac:dyDescent="0.2">
      <c r="A23" t="s">
        <v>479</v>
      </c>
      <c r="B23" t="s">
        <v>1</v>
      </c>
      <c r="C23" t="s">
        <v>1</v>
      </c>
      <c r="D23" t="s">
        <v>2</v>
      </c>
      <c r="E23" t="s">
        <v>29</v>
      </c>
      <c r="F23" s="4" t="s">
        <v>46</v>
      </c>
    </row>
    <row r="24" spans="1:7" x14ac:dyDescent="0.2">
      <c r="A24" t="s">
        <v>480</v>
      </c>
      <c r="B24" t="s">
        <v>1</v>
      </c>
      <c r="C24" t="s">
        <v>2</v>
      </c>
      <c r="D24" t="s">
        <v>1</v>
      </c>
      <c r="E24" t="s">
        <v>31</v>
      </c>
      <c r="F24" s="4" t="s">
        <v>48</v>
      </c>
    </row>
    <row r="25" spans="1:7" x14ac:dyDescent="0.2">
      <c r="F25" s="4"/>
    </row>
    <row r="26" spans="1:7" x14ac:dyDescent="0.2">
      <c r="A26" s="1" t="s">
        <v>630</v>
      </c>
      <c r="F26" s="4"/>
    </row>
    <row r="27" spans="1:7" x14ac:dyDescent="0.2">
      <c r="A27" t="s">
        <v>631</v>
      </c>
      <c r="B27" t="s">
        <v>2</v>
      </c>
      <c r="C27" t="s">
        <v>2</v>
      </c>
      <c r="D27" t="s">
        <v>2</v>
      </c>
      <c r="E27" t="s">
        <v>31</v>
      </c>
      <c r="F27" s="4" t="s">
        <v>616</v>
      </c>
    </row>
    <row r="28" spans="1:7" x14ac:dyDescent="0.2">
      <c r="F28" s="4"/>
    </row>
    <row r="29" spans="1:7" x14ac:dyDescent="0.2">
      <c r="A29" s="1" t="s">
        <v>513</v>
      </c>
      <c r="F29" s="4"/>
    </row>
    <row r="30" spans="1:7" x14ac:dyDescent="0.2">
      <c r="A30" t="s">
        <v>481</v>
      </c>
      <c r="B30" t="s">
        <v>1</v>
      </c>
      <c r="C30" t="s">
        <v>1</v>
      </c>
      <c r="D30" t="s">
        <v>2</v>
      </c>
      <c r="E30" t="s">
        <v>29</v>
      </c>
      <c r="F30" s="4" t="s">
        <v>46</v>
      </c>
    </row>
    <row r="31" spans="1:7" x14ac:dyDescent="0.2">
      <c r="A31" t="s">
        <v>482</v>
      </c>
      <c r="B31" t="s">
        <v>1</v>
      </c>
      <c r="C31" t="s">
        <v>1</v>
      </c>
      <c r="D31" t="s">
        <v>2</v>
      </c>
      <c r="E31" t="s">
        <v>39</v>
      </c>
      <c r="F31" s="5" t="s">
        <v>49</v>
      </c>
    </row>
    <row r="32" spans="1:7" x14ac:dyDescent="0.2">
      <c r="A32" t="s">
        <v>483</v>
      </c>
      <c r="B32" t="s">
        <v>1</v>
      </c>
      <c r="C32" t="s">
        <v>1</v>
      </c>
      <c r="D32" t="s">
        <v>2</v>
      </c>
      <c r="E32" t="s">
        <v>29</v>
      </c>
      <c r="F32" s="4" t="s">
        <v>46</v>
      </c>
    </row>
    <row r="33" spans="1:7" x14ac:dyDescent="0.2">
      <c r="F33" s="4"/>
    </row>
    <row r="34" spans="1:7" x14ac:dyDescent="0.2">
      <c r="A34" s="1" t="s">
        <v>632</v>
      </c>
      <c r="F34" s="4"/>
    </row>
    <row r="35" spans="1:7" x14ac:dyDescent="0.2">
      <c r="A35" t="s">
        <v>637</v>
      </c>
      <c r="B35" t="s">
        <v>2</v>
      </c>
      <c r="C35" t="s">
        <v>2</v>
      </c>
      <c r="D35" t="s">
        <v>2</v>
      </c>
      <c r="E35" t="s">
        <v>31</v>
      </c>
      <c r="F35" s="4" t="s">
        <v>616</v>
      </c>
    </row>
    <row r="36" spans="1:7" x14ac:dyDescent="0.2">
      <c r="A36" t="s">
        <v>633</v>
      </c>
      <c r="B36" t="s">
        <v>2</v>
      </c>
      <c r="C36" t="s">
        <v>2</v>
      </c>
      <c r="D36" t="s">
        <v>2</v>
      </c>
      <c r="E36" t="s">
        <v>31</v>
      </c>
      <c r="F36" s="4" t="s">
        <v>616</v>
      </c>
    </row>
    <row r="37" spans="1:7" x14ac:dyDescent="0.2">
      <c r="F37" s="4"/>
    </row>
    <row r="38" spans="1:7" x14ac:dyDescent="0.2">
      <c r="A38" s="1" t="s">
        <v>514</v>
      </c>
      <c r="B38" s="1"/>
      <c r="C38" s="1"/>
      <c r="D38" s="1"/>
      <c r="F38" s="4"/>
    </row>
    <row r="39" spans="1:7" x14ac:dyDescent="0.2">
      <c r="A39" t="s">
        <v>484</v>
      </c>
      <c r="B39" t="s">
        <v>1</v>
      </c>
      <c r="C39" t="s">
        <v>1</v>
      </c>
      <c r="D39" t="s">
        <v>2</v>
      </c>
      <c r="E39" t="s">
        <v>29</v>
      </c>
      <c r="F39" s="4" t="s">
        <v>46</v>
      </c>
    </row>
    <row r="40" spans="1:7" x14ac:dyDescent="0.2">
      <c r="F40" s="4"/>
    </row>
    <row r="41" spans="1:7" x14ac:dyDescent="0.2">
      <c r="A41" s="1" t="s">
        <v>515</v>
      </c>
      <c r="F41" s="4"/>
    </row>
    <row r="42" spans="1:7" x14ac:dyDescent="0.2">
      <c r="A42" t="s">
        <v>485</v>
      </c>
      <c r="B42" t="s">
        <v>1</v>
      </c>
      <c r="C42" t="s">
        <v>2</v>
      </c>
      <c r="D42" t="s">
        <v>1</v>
      </c>
      <c r="E42" t="s">
        <v>31</v>
      </c>
      <c r="F42" s="4" t="s">
        <v>43</v>
      </c>
      <c r="G42" s="4"/>
    </row>
    <row r="43" spans="1:7" x14ac:dyDescent="0.2">
      <c r="A43" t="s">
        <v>486</v>
      </c>
      <c r="B43" t="s">
        <v>1</v>
      </c>
      <c r="C43" t="s">
        <v>2</v>
      </c>
      <c r="D43" t="s">
        <v>1</v>
      </c>
      <c r="E43" t="s">
        <v>31</v>
      </c>
      <c r="F43" s="4" t="s">
        <v>43</v>
      </c>
    </row>
    <row r="44" spans="1:7" x14ac:dyDescent="0.2">
      <c r="F44" s="4"/>
    </row>
    <row r="45" spans="1:7" x14ac:dyDescent="0.2">
      <c r="A45" s="1" t="s">
        <v>516</v>
      </c>
      <c r="F45" s="4"/>
    </row>
    <row r="46" spans="1:7" x14ac:dyDescent="0.2">
      <c r="A46" t="s">
        <v>487</v>
      </c>
      <c r="B46" t="s">
        <v>1</v>
      </c>
      <c r="C46" t="s">
        <v>1</v>
      </c>
      <c r="D46" t="s">
        <v>2</v>
      </c>
      <c r="E46" t="s">
        <v>39</v>
      </c>
      <c r="F46" s="4" t="s">
        <v>46</v>
      </c>
    </row>
    <row r="47" spans="1:7" x14ac:dyDescent="0.2">
      <c r="F47" s="4"/>
    </row>
    <row r="48" spans="1:7" x14ac:dyDescent="0.2">
      <c r="A48" s="1" t="s">
        <v>517</v>
      </c>
      <c r="F48" s="4"/>
    </row>
    <row r="49" spans="1:6" x14ac:dyDescent="0.2">
      <c r="A49" t="s">
        <v>488</v>
      </c>
      <c r="B49" t="s">
        <v>1</v>
      </c>
      <c r="C49" t="s">
        <v>1</v>
      </c>
      <c r="D49" t="s">
        <v>2</v>
      </c>
      <c r="E49" t="s">
        <v>54</v>
      </c>
      <c r="F49" s="4" t="s">
        <v>86</v>
      </c>
    </row>
    <row r="50" spans="1:6" x14ac:dyDescent="0.2">
      <c r="F50" s="4"/>
    </row>
    <row r="51" spans="1:6" x14ac:dyDescent="0.2">
      <c r="A51" s="1" t="s">
        <v>518</v>
      </c>
      <c r="F51" s="4"/>
    </row>
    <row r="52" spans="1:6" x14ac:dyDescent="0.2">
      <c r="A52" t="s">
        <v>489</v>
      </c>
      <c r="B52" t="s">
        <v>1</v>
      </c>
      <c r="C52" t="s">
        <v>2</v>
      </c>
      <c r="D52" t="s">
        <v>1</v>
      </c>
      <c r="E52" t="s">
        <v>31</v>
      </c>
      <c r="F52" s="4" t="s">
        <v>43</v>
      </c>
    </row>
    <row r="53" spans="1:6" ht="17" customHeight="1" x14ac:dyDescent="0.2">
      <c r="F53" s="4"/>
    </row>
    <row r="54" spans="1:6" x14ac:dyDescent="0.2">
      <c r="A54" s="1" t="s">
        <v>626</v>
      </c>
      <c r="F54" s="4"/>
    </row>
    <row r="55" spans="1:6" x14ac:dyDescent="0.2">
      <c r="A55" t="s">
        <v>627</v>
      </c>
      <c r="B55" t="s">
        <v>2</v>
      </c>
      <c r="C55" t="s">
        <v>2</v>
      </c>
      <c r="D55" t="s">
        <v>2</v>
      </c>
      <c r="E55" t="s">
        <v>31</v>
      </c>
      <c r="F55" s="4" t="s">
        <v>616</v>
      </c>
    </row>
    <row r="56" spans="1:6" x14ac:dyDescent="0.2">
      <c r="F56" s="4"/>
    </row>
    <row r="57" spans="1:6" x14ac:dyDescent="0.2">
      <c r="A57" s="1" t="s">
        <v>628</v>
      </c>
      <c r="F57" s="4"/>
    </row>
    <row r="58" spans="1:6" x14ac:dyDescent="0.2">
      <c r="A58" t="s">
        <v>629</v>
      </c>
      <c r="B58" t="s">
        <v>2</v>
      </c>
      <c r="C58" t="s">
        <v>2</v>
      </c>
      <c r="D58" t="s">
        <v>2</v>
      </c>
      <c r="E58" t="s">
        <v>31</v>
      </c>
      <c r="F58" s="4" t="s">
        <v>616</v>
      </c>
    </row>
    <row r="59" spans="1:6" x14ac:dyDescent="0.2">
      <c r="F59" s="4"/>
    </row>
    <row r="60" spans="1:6" x14ac:dyDescent="0.2">
      <c r="A60" s="1" t="s">
        <v>519</v>
      </c>
      <c r="F60" s="4"/>
    </row>
    <row r="61" spans="1:6" x14ac:dyDescent="0.2">
      <c r="A61" t="s">
        <v>490</v>
      </c>
      <c r="B61" t="s">
        <v>2</v>
      </c>
      <c r="C61" t="s">
        <v>2</v>
      </c>
      <c r="D61" t="s">
        <v>1</v>
      </c>
      <c r="E61" t="s">
        <v>31</v>
      </c>
      <c r="F61" s="4" t="s">
        <v>89</v>
      </c>
    </row>
    <row r="62" spans="1:6" x14ac:dyDescent="0.2">
      <c r="A62" t="s">
        <v>491</v>
      </c>
      <c r="B62" t="s">
        <v>1</v>
      </c>
      <c r="C62" t="s">
        <v>2</v>
      </c>
      <c r="D62" t="s">
        <v>1</v>
      </c>
      <c r="E62" t="s">
        <v>31</v>
      </c>
      <c r="F62" s="4" t="s">
        <v>90</v>
      </c>
    </row>
    <row r="63" spans="1:6" x14ac:dyDescent="0.2">
      <c r="A63" t="s">
        <v>492</v>
      </c>
      <c r="B63" t="s">
        <v>1</v>
      </c>
      <c r="C63" t="s">
        <v>1</v>
      </c>
      <c r="D63" t="s">
        <v>2</v>
      </c>
      <c r="E63" t="s">
        <v>29</v>
      </c>
      <c r="F63" s="5" t="s">
        <v>93</v>
      </c>
    </row>
    <row r="64" spans="1:6" x14ac:dyDescent="0.2">
      <c r="A64" t="s">
        <v>493</v>
      </c>
      <c r="B64" t="s">
        <v>1</v>
      </c>
      <c r="C64" t="s">
        <v>2</v>
      </c>
      <c r="D64" t="s">
        <v>1</v>
      </c>
      <c r="E64" t="s">
        <v>31</v>
      </c>
      <c r="F64" s="4" t="s">
        <v>89</v>
      </c>
    </row>
    <row r="65" spans="1:6" x14ac:dyDescent="0.2">
      <c r="A65" t="s">
        <v>494</v>
      </c>
      <c r="B65" t="s">
        <v>1</v>
      </c>
      <c r="C65" t="s">
        <v>1</v>
      </c>
      <c r="D65" t="s">
        <v>2</v>
      </c>
      <c r="E65" t="s">
        <v>54</v>
      </c>
      <c r="F65" s="4" t="s">
        <v>91</v>
      </c>
    </row>
    <row r="66" spans="1:6" x14ac:dyDescent="0.2">
      <c r="A66" t="s">
        <v>495</v>
      </c>
      <c r="B66" t="s">
        <v>1</v>
      </c>
      <c r="C66" t="s">
        <v>1</v>
      </c>
      <c r="D66" t="s">
        <v>2</v>
      </c>
      <c r="E66" s="4" t="s">
        <v>92</v>
      </c>
      <c r="F66" s="4" t="s">
        <v>46</v>
      </c>
    </row>
    <row r="67" spans="1:6" x14ac:dyDescent="0.2">
      <c r="A67" t="s">
        <v>496</v>
      </c>
      <c r="B67" t="s">
        <v>2</v>
      </c>
      <c r="C67" t="s">
        <v>2</v>
      </c>
      <c r="D67" t="s">
        <v>1</v>
      </c>
      <c r="E67" t="s">
        <v>31</v>
      </c>
      <c r="F67" s="4" t="s">
        <v>89</v>
      </c>
    </row>
    <row r="68" spans="1:6" x14ac:dyDescent="0.2">
      <c r="A68" t="s">
        <v>634</v>
      </c>
      <c r="B68" t="s">
        <v>2</v>
      </c>
      <c r="C68" t="s">
        <v>2</v>
      </c>
      <c r="D68" t="s">
        <v>2</v>
      </c>
      <c r="E68" t="s">
        <v>31</v>
      </c>
      <c r="F68" s="4" t="s">
        <v>558</v>
      </c>
    </row>
    <row r="69" spans="1:6" x14ac:dyDescent="0.2">
      <c r="F69" s="4"/>
    </row>
    <row r="70" spans="1:6" x14ac:dyDescent="0.2">
      <c r="A70" s="1" t="s">
        <v>497</v>
      </c>
      <c r="F70" s="4"/>
    </row>
    <row r="71" spans="1:6" x14ac:dyDescent="0.2">
      <c r="A71" t="s">
        <v>498</v>
      </c>
      <c r="B71" t="s">
        <v>1</v>
      </c>
      <c r="C71" t="s">
        <v>1</v>
      </c>
      <c r="D71" t="s">
        <v>2</v>
      </c>
      <c r="E71" t="s">
        <v>39</v>
      </c>
      <c r="F71" s="4" t="s">
        <v>49</v>
      </c>
    </row>
    <row r="72" spans="1:6" x14ac:dyDescent="0.2">
      <c r="F72" s="4"/>
    </row>
    <row r="73" spans="1:6" x14ac:dyDescent="0.2">
      <c r="A73" s="1" t="s">
        <v>520</v>
      </c>
      <c r="F73" s="4"/>
    </row>
    <row r="74" spans="1:6" x14ac:dyDescent="0.2">
      <c r="A74" t="s">
        <v>499</v>
      </c>
      <c r="B74" t="s">
        <v>1</v>
      </c>
      <c r="C74" t="s">
        <v>2</v>
      </c>
      <c r="D74" t="s">
        <v>1</v>
      </c>
      <c r="E74" t="s">
        <v>31</v>
      </c>
      <c r="F74" s="4" t="s">
        <v>47</v>
      </c>
    </row>
    <row r="75" spans="1:6" x14ac:dyDescent="0.2">
      <c r="F75" s="4"/>
    </row>
    <row r="76" spans="1:6" x14ac:dyDescent="0.2">
      <c r="A76" s="1" t="s">
        <v>521</v>
      </c>
      <c r="F76" s="4"/>
    </row>
    <row r="77" spans="1:6" x14ac:dyDescent="0.2">
      <c r="A77" t="s">
        <v>500</v>
      </c>
      <c r="B77" t="s">
        <v>1</v>
      </c>
      <c r="C77" t="s">
        <v>1</v>
      </c>
      <c r="D77" t="s">
        <v>2</v>
      </c>
      <c r="E77" t="s">
        <v>29</v>
      </c>
      <c r="F77" s="4" t="s">
        <v>46</v>
      </c>
    </row>
    <row r="78" spans="1:6" x14ac:dyDescent="0.2">
      <c r="F78" s="4"/>
    </row>
    <row r="79" spans="1:6" x14ac:dyDescent="0.2">
      <c r="A79" s="1" t="s">
        <v>638</v>
      </c>
      <c r="F79" s="4"/>
    </row>
    <row r="80" spans="1:6" x14ac:dyDescent="0.2">
      <c r="A80" t="s">
        <v>639</v>
      </c>
      <c r="B80" t="s">
        <v>2</v>
      </c>
      <c r="C80" t="s">
        <v>2</v>
      </c>
      <c r="D80" t="s">
        <v>2</v>
      </c>
      <c r="E80" t="s">
        <v>31</v>
      </c>
      <c r="F80" s="4" t="s">
        <v>558</v>
      </c>
    </row>
    <row r="81" spans="1:7" x14ac:dyDescent="0.2">
      <c r="F81" s="4"/>
    </row>
    <row r="82" spans="1:7" x14ac:dyDescent="0.2">
      <c r="A82" s="1" t="s">
        <v>522</v>
      </c>
      <c r="F82" s="4"/>
    </row>
    <row r="83" spans="1:7" x14ac:dyDescent="0.2">
      <c r="A83" t="s">
        <v>501</v>
      </c>
      <c r="B83" t="s">
        <v>1</v>
      </c>
      <c r="C83" t="s">
        <v>1</v>
      </c>
      <c r="D83" t="s">
        <v>2</v>
      </c>
      <c r="E83" t="s">
        <v>94</v>
      </c>
      <c r="F83" s="4" t="s">
        <v>46</v>
      </c>
    </row>
    <row r="84" spans="1:7" x14ac:dyDescent="0.2">
      <c r="A84" t="s">
        <v>502</v>
      </c>
      <c r="B84" t="s">
        <v>1</v>
      </c>
      <c r="C84" t="s">
        <v>1</v>
      </c>
      <c r="D84" t="s">
        <v>2</v>
      </c>
      <c r="E84" t="s">
        <v>39</v>
      </c>
      <c r="F84" s="4" t="s">
        <v>46</v>
      </c>
    </row>
    <row r="85" spans="1:7" x14ac:dyDescent="0.2">
      <c r="A85" t="s">
        <v>503</v>
      </c>
      <c r="B85" t="s">
        <v>1</v>
      </c>
      <c r="C85" t="s">
        <v>1</v>
      </c>
      <c r="D85" t="s">
        <v>2</v>
      </c>
      <c r="E85" t="s">
        <v>94</v>
      </c>
      <c r="F85" s="4" t="s">
        <v>46</v>
      </c>
    </row>
    <row r="86" spans="1:7" x14ac:dyDescent="0.2">
      <c r="A86" t="s">
        <v>504</v>
      </c>
      <c r="B86" t="s">
        <v>1</v>
      </c>
      <c r="C86" t="s">
        <v>2</v>
      </c>
      <c r="D86" t="s">
        <v>1</v>
      </c>
      <c r="E86" t="s">
        <v>31</v>
      </c>
      <c r="F86" s="4" t="s">
        <v>72</v>
      </c>
    </row>
    <row r="87" spans="1:7" x14ac:dyDescent="0.2">
      <c r="A87" t="s">
        <v>505</v>
      </c>
      <c r="B87" t="s">
        <v>1</v>
      </c>
      <c r="C87" t="s">
        <v>1</v>
      </c>
      <c r="D87" t="s">
        <v>2</v>
      </c>
      <c r="E87" t="s">
        <v>29</v>
      </c>
      <c r="F87" s="4" t="s">
        <v>46</v>
      </c>
    </row>
    <row r="88" spans="1:7" x14ac:dyDescent="0.2">
      <c r="F88" s="4"/>
    </row>
    <row r="89" spans="1:7" x14ac:dyDescent="0.2">
      <c r="A89" s="1" t="s">
        <v>523</v>
      </c>
      <c r="F89" s="4"/>
    </row>
    <row r="90" spans="1:7" x14ac:dyDescent="0.2">
      <c r="A90" t="s">
        <v>506</v>
      </c>
      <c r="B90" t="s">
        <v>1</v>
      </c>
      <c r="C90" t="s">
        <v>1</v>
      </c>
      <c r="D90" t="s">
        <v>2</v>
      </c>
      <c r="E90" s="2" t="s">
        <v>73</v>
      </c>
      <c r="F90" s="5" t="s">
        <v>46</v>
      </c>
      <c r="G90" s="2"/>
    </row>
    <row r="91" spans="1:7" x14ac:dyDescent="0.2">
      <c r="E91" s="2"/>
      <c r="F91" s="5"/>
      <c r="G91" s="2"/>
    </row>
    <row r="92" spans="1:7" x14ac:dyDescent="0.2">
      <c r="A92" s="1" t="s">
        <v>635</v>
      </c>
      <c r="E92" s="2"/>
      <c r="F92" s="5"/>
      <c r="G92" s="2"/>
    </row>
    <row r="93" spans="1:7" x14ac:dyDescent="0.2">
      <c r="A93" t="s">
        <v>636</v>
      </c>
      <c r="B93" t="s">
        <v>2</v>
      </c>
      <c r="C93" t="s">
        <v>2</v>
      </c>
      <c r="D93" t="s">
        <v>2</v>
      </c>
      <c r="E93" s="2" t="s">
        <v>31</v>
      </c>
      <c r="F93" s="4" t="s">
        <v>558</v>
      </c>
      <c r="G93" s="2"/>
    </row>
    <row r="95" spans="1:7" x14ac:dyDescent="0.2">
      <c r="A95" s="11" t="s">
        <v>544</v>
      </c>
      <c r="B95" s="19" t="s">
        <v>546</v>
      </c>
      <c r="C95" s="23" t="s">
        <v>548</v>
      </c>
      <c r="D95" s="25" t="s">
        <v>550</v>
      </c>
    </row>
    <row r="96" spans="1:7" x14ac:dyDescent="0.2">
      <c r="A96" s="12">
        <f>COUNTIF(A4:A93,"*$*")</f>
        <v>24</v>
      </c>
      <c r="B96" s="20">
        <f>COUNTIF(B4:B93,"*Yes*")</f>
        <v>33</v>
      </c>
      <c r="C96" s="24">
        <f>COUNTIF(C4:C93,"*Yes*")</f>
        <v>21</v>
      </c>
      <c r="D96" s="26">
        <f>COUNTIF(D4:D90,"*Yes*")</f>
        <v>14</v>
      </c>
    </row>
    <row r="97" spans="1:3" x14ac:dyDescent="0.2">
      <c r="A97" s="13" t="s">
        <v>545</v>
      </c>
      <c r="B97" s="21" t="s">
        <v>547</v>
      </c>
      <c r="C97" s="15" t="s">
        <v>549</v>
      </c>
    </row>
    <row r="98" spans="1:3" x14ac:dyDescent="0.2">
      <c r="A98" s="14">
        <f>COUNTIF(A4:A93,"*^*")</f>
        <v>43</v>
      </c>
      <c r="B98" s="22">
        <f>COUNTIF(B4:B93,"*No*")</f>
        <v>10</v>
      </c>
      <c r="C98" s="16">
        <f>COUNTIF(C4:C93,"*No*")</f>
        <v>22</v>
      </c>
    </row>
  </sheetData>
  <mergeCells count="1">
    <mergeCell ref="A1:C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3DDCF-F0BC-B845-86B3-7737957FBFF9}">
  <dimension ref="A1:G10"/>
  <sheetViews>
    <sheetView workbookViewId="0">
      <selection activeCell="B11" sqref="B11"/>
    </sheetView>
  </sheetViews>
  <sheetFormatPr baseColWidth="10" defaultRowHeight="16" x14ac:dyDescent="0.2"/>
  <cols>
    <col min="1" max="1" width="20.83203125" customWidth="1"/>
    <col min="2" max="2" width="31" customWidth="1"/>
    <col min="3" max="3" width="24.5" customWidth="1"/>
    <col min="4" max="4" width="23.6640625" customWidth="1"/>
    <col min="5" max="5" width="18.6640625" customWidth="1"/>
    <col min="6" max="6" width="17" customWidth="1"/>
  </cols>
  <sheetData>
    <row r="1" spans="1:7" x14ac:dyDescent="0.2">
      <c r="A1" s="37" t="s">
        <v>17</v>
      </c>
      <c r="B1" s="37"/>
      <c r="C1" s="37"/>
      <c r="D1" s="29" t="s">
        <v>141</v>
      </c>
      <c r="E1" s="30" t="s">
        <v>534</v>
      </c>
      <c r="F1" s="31" t="s">
        <v>142</v>
      </c>
      <c r="G1" s="32" t="s">
        <v>535</v>
      </c>
    </row>
    <row r="2" spans="1:7" x14ac:dyDescent="0.2">
      <c r="A2" s="37"/>
      <c r="B2" s="37"/>
      <c r="C2" s="37"/>
    </row>
    <row r="3" spans="1:7" x14ac:dyDescent="0.2">
      <c r="B3" s="1" t="s">
        <v>0</v>
      </c>
      <c r="C3" s="1" t="s">
        <v>3</v>
      </c>
      <c r="D3" s="1" t="s">
        <v>24</v>
      </c>
      <c r="E3" s="1" t="s">
        <v>26</v>
      </c>
      <c r="F3" s="1" t="s">
        <v>27</v>
      </c>
      <c r="G3" s="1" t="s">
        <v>33</v>
      </c>
    </row>
    <row r="4" spans="1:7" x14ac:dyDescent="0.2">
      <c r="A4" s="1" t="s">
        <v>525</v>
      </c>
    </row>
    <row r="5" spans="1:7" x14ac:dyDescent="0.2">
      <c r="A5" t="s">
        <v>524</v>
      </c>
      <c r="B5" t="s">
        <v>1</v>
      </c>
      <c r="C5" t="s">
        <v>2</v>
      </c>
      <c r="D5" t="s">
        <v>1</v>
      </c>
      <c r="E5" t="s">
        <v>31</v>
      </c>
      <c r="F5" t="s">
        <v>43</v>
      </c>
      <c r="G5" s="4" t="s">
        <v>112</v>
      </c>
    </row>
    <row r="7" spans="1:7" x14ac:dyDescent="0.2">
      <c r="A7" s="11" t="s">
        <v>544</v>
      </c>
      <c r="B7" s="19" t="s">
        <v>546</v>
      </c>
      <c r="C7" s="23" t="s">
        <v>548</v>
      </c>
      <c r="D7" s="25" t="s">
        <v>550</v>
      </c>
    </row>
    <row r="8" spans="1:7" x14ac:dyDescent="0.2">
      <c r="A8" s="12">
        <f>COUNTIF(A4:A5,"*$*")</f>
        <v>1</v>
      </c>
      <c r="B8" s="20">
        <f>COUNTIF(B4:B5,"*Yes*")</f>
        <v>1</v>
      </c>
      <c r="C8" s="24">
        <f>COUNTIF(C4:C5,"*Yes*")</f>
        <v>0</v>
      </c>
      <c r="D8" s="26">
        <f>COUNTIF(D4:D5,"*Yes*")</f>
        <v>1</v>
      </c>
    </row>
    <row r="9" spans="1:7" x14ac:dyDescent="0.2">
      <c r="A9" s="13" t="s">
        <v>545</v>
      </c>
      <c r="B9" s="21" t="s">
        <v>547</v>
      </c>
      <c r="C9" s="15" t="s">
        <v>549</v>
      </c>
    </row>
    <row r="10" spans="1:7" x14ac:dyDescent="0.2">
      <c r="A10" s="14">
        <f>COUNTIF(A4:A5,"*^*")</f>
        <v>1</v>
      </c>
      <c r="B10" s="22">
        <f>COUNTIF(B4:B5,"*No*")</f>
        <v>0</v>
      </c>
      <c r="C10" s="16">
        <f>COUNTIF(C4:C5,"*No*")</f>
        <v>1</v>
      </c>
    </row>
  </sheetData>
  <mergeCells count="1">
    <mergeCell ref="A1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All Species</vt:lpstr>
      <vt:lpstr>Rodentia</vt:lpstr>
      <vt:lpstr>Afrosoricida</vt:lpstr>
      <vt:lpstr>Artiodactyla</vt:lpstr>
      <vt:lpstr>Carnivora</vt:lpstr>
      <vt:lpstr>Chiroptera</vt:lpstr>
      <vt:lpstr>Diprotodontia</vt:lpstr>
      <vt:lpstr>Didelphimorphia</vt:lpstr>
      <vt:lpstr>Eulipotyphla</vt:lpstr>
      <vt:lpstr>Hyracoidea</vt:lpstr>
      <vt:lpstr>Lagomorpha</vt:lpstr>
      <vt:lpstr>Monotremata</vt:lpstr>
      <vt:lpstr>Perissodactyla</vt:lpstr>
      <vt:lpstr>Pilosa</vt:lpstr>
      <vt:lpstr>Primates</vt:lpstr>
      <vt:lpstr>Scandentia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spenser biernacki</cp:lastModifiedBy>
  <dcterms:created xsi:type="dcterms:W3CDTF">2020-04-16T16:54:55Z</dcterms:created>
  <dcterms:modified xsi:type="dcterms:W3CDTF">2026-08-04T18:36:00Z</dcterms:modified>
</cp:coreProperties>
</file>